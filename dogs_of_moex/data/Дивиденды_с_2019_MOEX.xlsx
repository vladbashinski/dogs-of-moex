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ивиденды" sheetId="1" r:id="rId5"/>
    <sheet state="visible" name="Все_дивиденды_xlsx" sheetId="2" r:id="rId6"/>
    <sheet state="visible" name="Индекс с Дивидендами" sheetId="3" r:id="rId7"/>
    <sheet state="visible" name="Лист1" sheetId="4" r:id="rId8"/>
  </sheets>
  <definedNames>
    <definedName localSheetId="2" name="ExternalData_1">'Индекс с Дивидендами'!$A$1:$J$905</definedName>
    <definedName localSheetId="1" name="ExternalData_2">'Все_дивиденды_xlsx'!$A$1:$C$649</definedName>
  </definedNames>
  <calcPr/>
</workbook>
</file>

<file path=xl/sharedStrings.xml><?xml version="1.0" encoding="utf-8"?>
<sst xmlns="http://schemas.openxmlformats.org/spreadsheetml/2006/main" count="2823" uniqueCount="211">
  <si>
    <t>Дивиденды эмитентов РФ с 2019 года</t>
  </si>
  <si>
    <t>Эмитент</t>
  </si>
  <si>
    <t>Тикер</t>
  </si>
  <si>
    <t>"МОСКОВСКИЙ КРЕДИТНЫЙ БАНК" (ПАО)</t>
  </si>
  <si>
    <t>CBOM</t>
  </si>
  <si>
    <t>-</t>
  </si>
  <si>
    <t>Акционерная компания "АЛРОСА" (ПАО)</t>
  </si>
  <si>
    <t>ALRS</t>
  </si>
  <si>
    <t>Банк ВТБ (ПАО)</t>
  </si>
  <si>
    <t>VTBR</t>
  </si>
  <si>
    <t>Международная Компания ПАО "МД Медикал Груп Инвестментс"</t>
  </si>
  <si>
    <t>MDMG</t>
  </si>
  <si>
    <t>Международная Компания ПАО Юнайтед Медикал Груп</t>
  </si>
  <si>
    <t>GEMC</t>
  </si>
  <si>
    <t>Международная компания ПАО "ВК"</t>
  </si>
  <si>
    <t>VKCO</t>
  </si>
  <si>
    <t>Международная компания ПАО "Озон"</t>
  </si>
  <si>
    <t>OZON</t>
  </si>
  <si>
    <t>Международная компания ПАО "Лента"</t>
  </si>
  <si>
    <t>LENT</t>
  </si>
  <si>
    <t>Международная компания ПАО "Объединённая Компания "РУСАЛ""</t>
  </si>
  <si>
    <t>RUAL</t>
  </si>
  <si>
    <t>Международная компания ПАО "Т-Технологии"</t>
  </si>
  <si>
    <t>T</t>
  </si>
  <si>
    <t>Международная компания ПАО "Хэдхантер"</t>
  </si>
  <si>
    <t>HEAD</t>
  </si>
  <si>
    <t>Международная компания ПАО "Циан"</t>
  </si>
  <si>
    <t>CNRU</t>
  </si>
  <si>
    <t>Международная компания ПАО "ЭН+ ГРУП"</t>
  </si>
  <si>
    <t>ENPG</t>
  </si>
  <si>
    <t>Международная компания ПАО "ЯНДЕКС"</t>
  </si>
  <si>
    <t>YDEX</t>
  </si>
  <si>
    <t>ПАО "БАНК "САНКТ-ПЕТЕРБУРГ"</t>
  </si>
  <si>
    <t>BSPB</t>
  </si>
  <si>
    <t>ПАО "ИНАРКТИКА"</t>
  </si>
  <si>
    <t>AQUA</t>
  </si>
  <si>
    <t>ПАО "Акционерная финансовая корпорация "Система"</t>
  </si>
  <si>
    <t>AFKS</t>
  </si>
  <si>
    <t>ПАО "Аэрофлот – российские авиалинии"</t>
  </si>
  <si>
    <t>AFLT</t>
  </si>
  <si>
    <t>ПАО "ВИ.ру"</t>
  </si>
  <si>
    <t>VSEH</t>
  </si>
  <si>
    <t>ПАО "Газпром"</t>
  </si>
  <si>
    <t>GAZP</t>
  </si>
  <si>
    <t>ПАО "Горно-металлургическая компания "Норильский никель"</t>
  </si>
  <si>
    <t>GMKN</t>
  </si>
  <si>
    <t>ПАО "Группа "Русагро"</t>
  </si>
  <si>
    <t>RAGR</t>
  </si>
  <si>
    <t>ПАО "Группа ЛСР"</t>
  </si>
  <si>
    <t>LSRG</t>
  </si>
  <si>
    <t>ПАО "Группа Позитив"</t>
  </si>
  <si>
    <t>POSI</t>
  </si>
  <si>
    <t>ПАО "Группа Ренессанс Страхование"</t>
  </si>
  <si>
    <t>RENI</t>
  </si>
  <si>
    <t>ПАО "ДОМ.РФ"</t>
  </si>
  <si>
    <t>DOMRF</t>
  </si>
  <si>
    <t>ПАО "ЕвроТранс"</t>
  </si>
  <si>
    <t>EUTR</t>
  </si>
  <si>
    <t>ПАО "Интер РАО ЕЭС"</t>
  </si>
  <si>
    <t>IRAO</t>
  </si>
  <si>
    <t>ПАО "Корпоративный центр ИКС 5"</t>
  </si>
  <si>
    <t>X5</t>
  </si>
  <si>
    <t>ПАО "Лизинговая компания "Европлан"</t>
  </si>
  <si>
    <t>LEAS</t>
  </si>
  <si>
    <t>ПАО "М.видео"</t>
  </si>
  <si>
    <t>MVID</t>
  </si>
  <si>
    <t>ПАО "МТС-Банк"</t>
  </si>
  <si>
    <t>MBNK</t>
  </si>
  <si>
    <t>ПАО "Магнитогорский металлургический комбинат"</t>
  </si>
  <si>
    <t>MAGN</t>
  </si>
  <si>
    <t>ПАО "Мечел"</t>
  </si>
  <si>
    <t>MTLR</t>
  </si>
  <si>
    <t>MTLRP</t>
  </si>
  <si>
    <t>ПАО "Мобильные ТелеСистемы"</t>
  </si>
  <si>
    <t>MTSS</t>
  </si>
  <si>
    <t>ПАО "Московская Биржа ММВБ-РТС"</t>
  </si>
  <si>
    <t>MOEX</t>
  </si>
  <si>
    <t>ПАО "Нефтяная компания "ЛУКОЙЛ"</t>
  </si>
  <si>
    <t>LKOH</t>
  </si>
  <si>
    <t>ПАО "НоваБев Групп"</t>
  </si>
  <si>
    <t>BELU</t>
  </si>
  <si>
    <t>ПАО "Новолипецкий металлургический комбинат"</t>
  </si>
  <si>
    <t>NLMK</t>
  </si>
  <si>
    <t>ПАО "Озон Фармацевтика"</t>
  </si>
  <si>
    <t>OZPH</t>
  </si>
  <si>
    <t>ПАО "ПИК-специализированный застройщик"</t>
  </si>
  <si>
    <t>PIKK</t>
  </si>
  <si>
    <t>ПАО "Полюс"</t>
  </si>
  <si>
    <t>PLZL</t>
  </si>
  <si>
    <t>ПАО "Ростелеком"</t>
  </si>
  <si>
    <t>RTKM</t>
  </si>
  <si>
    <t>RTKMP</t>
  </si>
  <si>
    <t>ПАО "Сбербанк России"</t>
  </si>
  <si>
    <t>SBER</t>
  </si>
  <si>
    <t>SBERP</t>
  </si>
  <si>
    <t>ПАО "Северсталь"</t>
  </si>
  <si>
    <t>CHMF</t>
  </si>
  <si>
    <t>ПАО "Селигдар"</t>
  </si>
  <si>
    <t>SELG</t>
  </si>
  <si>
    <t>ПАО "Совкомбанк"</t>
  </si>
  <si>
    <t>SVCB</t>
  </si>
  <si>
    <t>ПАО "Территориальная генерирующая компания №1"</t>
  </si>
  <si>
    <t>TGKA</t>
  </si>
  <si>
    <t>ПАО "Транснефть"</t>
  </si>
  <si>
    <t>TRNFP</t>
  </si>
  <si>
    <t>ПАО "Федеральная гидрогенерирующая компания - РусГидро"</t>
  </si>
  <si>
    <t>HYDR</t>
  </si>
  <si>
    <t>ПАО "Федеральная сетевая компания - Россети"</t>
  </si>
  <si>
    <t>FEES</t>
  </si>
  <si>
    <t>ПАО "Фикс Прайс"</t>
  </si>
  <si>
    <t>FIXR</t>
  </si>
  <si>
    <t>ПАО "ФосАгро"</t>
  </si>
  <si>
    <t>PHOR</t>
  </si>
  <si>
    <t>ПАО "ЭЛ5-Энерго"</t>
  </si>
  <si>
    <t>ELFV</t>
  </si>
  <si>
    <t>ПАО "ЭсЭфАй"</t>
  </si>
  <si>
    <t>SFIN</t>
  </si>
  <si>
    <t>ПАО "Юнипро"</t>
  </si>
  <si>
    <t>UPRO</t>
  </si>
  <si>
    <t>ПАО Группа Астра</t>
  </si>
  <si>
    <t>ASTR</t>
  </si>
  <si>
    <t>ПАО Группа компаний "Сегежа"</t>
  </si>
  <si>
    <t>SGZH</t>
  </si>
  <si>
    <t>ПАО Нефтегазовая компания "РуссНефть"</t>
  </si>
  <si>
    <t>RNFT</t>
  </si>
  <si>
    <t>ПАО энергетики и электрификации "Мосэнерго"</t>
  </si>
  <si>
    <t>MSNG</t>
  </si>
  <si>
    <t>ПАО "Группа компаний "Самолет"</t>
  </si>
  <si>
    <t>SMLT</t>
  </si>
  <si>
    <t>ПАО "НОВАТЭК"</t>
  </si>
  <si>
    <t>NVTK</t>
  </si>
  <si>
    <t>ПАО "Нефтяная компания "Роснефть"</t>
  </si>
  <si>
    <t>ROSN</t>
  </si>
  <si>
    <t>ПАО "Современный коммерческий флот"</t>
  </si>
  <si>
    <t>FLOT</t>
  </si>
  <si>
    <t>ПАО "Татнефть" имени В.Д. Шашина</t>
  </si>
  <si>
    <t>TATN</t>
  </si>
  <si>
    <t>TATNP</t>
  </si>
  <si>
    <t>Год</t>
  </si>
  <si>
    <t>Ticker</t>
  </si>
  <si>
    <t>Dividend</t>
  </si>
  <si>
    <t>SNGS</t>
  </si>
  <si>
    <t>SNGSP</t>
  </si>
  <si>
    <t>SIBN</t>
  </si>
  <si>
    <t>MTSI</t>
  </si>
  <si>
    <t>NOTK</t>
  </si>
  <si>
    <t>RASP</t>
  </si>
  <si>
    <t>MGNT</t>
  </si>
  <si>
    <t>AKRN</t>
  </si>
  <si>
    <t>BANE</t>
  </si>
  <si>
    <t>BANEP</t>
  </si>
  <si>
    <t>MSRS</t>
  </si>
  <si>
    <t>MSTT</t>
  </si>
  <si>
    <t>NMTP</t>
  </si>
  <si>
    <t>OGKB</t>
  </si>
  <si>
    <t>VSMO</t>
  </si>
  <si>
    <t>KMAZ</t>
  </si>
  <si>
    <t>POLY</t>
  </si>
  <si>
    <t>SVAV</t>
  </si>
  <si>
    <t>TRMK</t>
  </si>
  <si>
    <t>URKA</t>
  </si>
  <si>
    <t>GCHE</t>
  </si>
  <si>
    <t>MFON</t>
  </si>
  <si>
    <t>AGRO</t>
  </si>
  <si>
    <t>DSKY</t>
  </si>
  <si>
    <t>EPLN</t>
  </si>
  <si>
    <t>FIVE</t>
  </si>
  <si>
    <t>QIWI</t>
  </si>
  <si>
    <t>GLTR</t>
  </si>
  <si>
    <t>HHRU</t>
  </si>
  <si>
    <t>Код инструмента</t>
  </si>
  <si>
    <t>Цена, RUB</t>
  </si>
  <si>
    <t>Эфф. кол-во</t>
  </si>
  <si>
    <t>Капитализация, RUB</t>
  </si>
  <si>
    <t>FF</t>
  </si>
  <si>
    <t>Wi</t>
  </si>
  <si>
    <t>Кап. в индексе, RUB</t>
  </si>
  <si>
    <t>Вес, %</t>
  </si>
  <si>
    <t>Див. Доходность</t>
  </si>
  <si>
    <t>UGLD</t>
  </si>
  <si>
    <t>TCSG</t>
  </si>
  <si>
    <t>YNDX</t>
  </si>
  <si>
    <t>FIXP</t>
  </si>
  <si>
    <t>POGR</t>
  </si>
  <si>
    <t>MAIL</t>
  </si>
  <si>
    <t>RSTI</t>
  </si>
  <si>
    <t>LNTA</t>
  </si>
  <si>
    <t>UWGN</t>
  </si>
  <si>
    <t>DIXY</t>
  </si>
  <si>
    <t>EONR</t>
  </si>
  <si>
    <t>NKEL</t>
  </si>
  <si>
    <t>PHST</t>
  </si>
  <si>
    <t>MRKH</t>
  </si>
  <si>
    <t>RUALR</t>
  </si>
  <si>
    <t>VZRZ</t>
  </si>
  <si>
    <t>OGKC</t>
  </si>
  <si>
    <t>PMTL</t>
  </si>
  <si>
    <t>URSI</t>
  </si>
  <si>
    <t>OGKE</t>
  </si>
  <si>
    <t>VTEL</t>
  </si>
  <si>
    <t>RBCI</t>
  </si>
  <si>
    <t>AVAZ</t>
  </si>
  <si>
    <t>EESR</t>
  </si>
  <si>
    <t>EESRP</t>
  </si>
  <si>
    <t>MMBM</t>
  </si>
  <si>
    <t>AVAZP</t>
  </si>
  <si>
    <t>YUKO</t>
  </si>
  <si>
    <t>BKBK</t>
  </si>
  <si>
    <t>INUR</t>
  </si>
  <si>
    <t>IRGZ</t>
  </si>
  <si>
    <t>SAGO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</si>
</sst>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₽&quot;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Times New Roman&quot;"/>
    </font>
    <font>
      <sz val="11.0"/>
      <color rgb="FF333333"/>
      <name val="&quot;Times New Roman&quot;"/>
    </font>
    <font>
      <b/>
      <sz val="11.0"/>
      <color rgb="FF666666"/>
      <name val="&quot;Times New Roman&quot;"/>
    </font>
    <font>
      <sz val="8.0"/>
      <color rgb="FF0F1115"/>
      <name val="&quot;Segoe UI&quot;"/>
    </font>
    <font>
      <sz val="11.0"/>
      <color rgb="FF0F1115"/>
      <name val="&quot;Times New Roman&quot;"/>
    </font>
    <font>
      <color rgb="FFFFFFFF"/>
      <name val="Arial"/>
      <scheme val="minor"/>
    </font>
    <font>
      <sz val="11.0"/>
      <color theme="1"/>
      <name val="Calibri"/>
    </font>
    <font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wrapText="0"/>
    </xf>
    <xf borderId="0" fillId="0" fontId="9" numFmtId="0" xfId="0" applyFont="1"/>
    <xf borderId="0" fillId="0" fontId="1" numFmtId="0" xfId="0" applyFont="1"/>
    <xf borderId="0" fillId="0" fontId="10" numFmtId="0" xfId="0" applyFont="1"/>
    <xf borderId="0" fillId="0" fontId="11" numFmtId="3" xfId="0" applyFont="1" applyNumberFormat="1"/>
    <xf borderId="0" fillId="0" fontId="11" numFmtId="4" xfId="0" applyFont="1" applyNumberFormat="1"/>
    <xf borderId="0" fillId="0" fontId="10" numFmtId="4" xfId="0" applyFont="1" applyNumberFormat="1"/>
    <xf borderId="0" fillId="0" fontId="10" numFmtId="3" xfId="0" applyFont="1" applyNumberFormat="1"/>
    <xf borderId="0" fillId="0" fontId="10" numFmtId="10" xfId="0" applyFont="1" applyNumberFormat="1"/>
    <xf borderId="0" fillId="0" fontId="10" numFmtId="3" xfId="0" applyFont="1" applyNumberFormat="1"/>
    <xf borderId="0" fillId="0" fontId="10" numFmtId="4" xfId="0" applyFont="1" applyNumberFormat="1"/>
    <xf borderId="0" fillId="0" fontId="10" numFmtId="10" xfId="0" applyFont="1" applyNumberFormat="1"/>
    <xf borderId="0" fillId="0" fontId="10" numFmtId="164" xfId="0" applyFont="1" applyNumberFormat="1"/>
    <xf borderId="0" fillId="0" fontId="10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3">
    <tableStyle count="3" pivot="0" name="Все_дивиденды_xlsx-style">
      <tableStyleElement dxfId="1" type="headerRow"/>
      <tableStyleElement dxfId="2" type="firstRowStripe"/>
      <tableStyleElement dxfId="3" type="secondRowStripe"/>
    </tableStyle>
    <tableStyle count="3" pivot="0" name="Индекс с Дивидендами-style">
      <tableStyleElement dxfId="1" type="headerRow"/>
      <tableStyleElement dxfId="2" type="firstRowStripe"/>
      <tableStyleElement dxfId="3" type="secondRowStripe"/>
    </tableStyle>
    <tableStyle count="3" pivot="0" name="Лист1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49" displayName="Table_1" name="Table_1" id="1">
  <tableColumns count="3">
    <tableColumn name="Год" id="1"/>
    <tableColumn name="Ticker" id="2"/>
    <tableColumn name="Dividend" id="3"/>
  </tableColumns>
  <tableStyleInfo name="Все_дивиденды_xlsx-style" showColumnStripes="0" showFirstColumn="1" showLastColumn="1" showRowStripes="1"/>
</table>
</file>

<file path=xl/tables/table2.xml><?xml version="1.0" encoding="utf-8"?>
<table xmlns="http://schemas.openxmlformats.org/spreadsheetml/2006/main" ref="A1:K905" displayName="Table_2" name="Table_2" id="2">
  <tableColumns count="11">
    <tableColumn name="Год" id="1"/>
    <tableColumn name="Код инструмента" id="2"/>
    <tableColumn name="Цена, RUB" id="3"/>
    <tableColumn name="Эфф. кол-во" id="4"/>
    <tableColumn name="Капитализация, RUB" id="5"/>
    <tableColumn name="FF" id="6"/>
    <tableColumn name="Wi" id="7"/>
    <tableColumn name="Кап. в индексе, RUB" id="8"/>
    <tableColumn name="Вес, %" id="9"/>
    <tableColumn name="Dividend" id="10"/>
    <tableColumn name="Див. Доходность" id="11"/>
  </tableColumns>
  <tableStyleInfo name="Индекс с Дивидендами-style" showColumnStripes="0" showFirstColumn="1" showLastColumn="1" showRowStripes="1"/>
</table>
</file>

<file path=xl/tables/table3.xml><?xml version="1.0" encoding="utf-8"?>
<table xmlns="http://schemas.openxmlformats.org/spreadsheetml/2006/main" ref="A1:I905" displayName="Table_3" name="Table_3" id="3">
  <tableColumns count="9">
    <tableColumn name="Год" id="1"/>
    <tableColumn name="Код инструмента" id="2"/>
    <tableColumn name="Цена, RUB" id="3"/>
    <tableColumn name="Эфф. кол-во" id="4"/>
    <tableColumn name="Капитализация, RUB" id="5"/>
    <tableColumn name="FF" id="6"/>
    <tableColumn name="Wi" id="7"/>
    <tableColumn name="Кап. в индексе, RUB" id="8"/>
    <tableColumn name="Вес, %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</cols>
  <sheetData>
    <row r="1">
      <c r="A1" s="1" t="s">
        <v>0</v>
      </c>
    </row>
    <row r="2">
      <c r="A2" s="2"/>
    </row>
    <row r="3">
      <c r="A3" s="1" t="s">
        <v>1</v>
      </c>
      <c r="B3" s="3" t="s">
        <v>2</v>
      </c>
      <c r="C3" s="4">
        <v>2019.0</v>
      </c>
      <c r="D3" s="4">
        <v>2020.0</v>
      </c>
      <c r="E3" s="4">
        <v>2021.0</v>
      </c>
      <c r="F3" s="4">
        <v>2022.0</v>
      </c>
      <c r="G3" s="4">
        <v>2023.0</v>
      </c>
      <c r="H3" s="4">
        <v>2024.0</v>
      </c>
      <c r="I3" s="4">
        <v>2025.0</v>
      </c>
    </row>
    <row r="4">
      <c r="A4" s="5" t="s">
        <v>3</v>
      </c>
      <c r="B4" s="6" t="s">
        <v>4</v>
      </c>
      <c r="C4" s="7">
        <v>0.11</v>
      </c>
      <c r="D4" s="7" t="s">
        <v>5</v>
      </c>
      <c r="E4" s="7" t="s">
        <v>5</v>
      </c>
      <c r="F4" s="7" t="s">
        <v>5</v>
      </c>
      <c r="G4" s="7" t="s">
        <v>5</v>
      </c>
      <c r="H4" s="7" t="s">
        <v>5</v>
      </c>
      <c r="I4" s="7" t="s">
        <v>5</v>
      </c>
    </row>
    <row r="5">
      <c r="A5" s="5" t="s">
        <v>6</v>
      </c>
      <c r="B5" s="6" t="s">
        <v>7</v>
      </c>
      <c r="C5" s="7">
        <v>7.95</v>
      </c>
      <c r="D5" s="7">
        <v>2.63</v>
      </c>
      <c r="E5" s="7">
        <v>18.33</v>
      </c>
      <c r="F5" s="7" t="s">
        <v>5</v>
      </c>
      <c r="G5" s="7">
        <v>3.77</v>
      </c>
      <c r="H5" s="7">
        <v>4.51</v>
      </c>
      <c r="I5" s="7" t="s">
        <v>5</v>
      </c>
    </row>
    <row r="6">
      <c r="A6" s="5" t="s">
        <v>8</v>
      </c>
      <c r="B6" s="6" t="s">
        <v>9</v>
      </c>
      <c r="C6" s="7">
        <v>0.00128</v>
      </c>
      <c r="D6" s="7">
        <v>7.7E-4</v>
      </c>
      <c r="E6" s="7">
        <v>0.0014</v>
      </c>
      <c r="F6" s="8"/>
      <c r="G6" s="8"/>
      <c r="H6" s="8"/>
      <c r="I6" s="7">
        <v>25.58</v>
      </c>
    </row>
    <row r="7">
      <c r="A7" s="5" t="s">
        <v>10</v>
      </c>
      <c r="B7" s="6" t="s">
        <v>11</v>
      </c>
      <c r="C7" s="8"/>
      <c r="D7" s="8"/>
      <c r="E7" s="7">
        <v>37.0</v>
      </c>
      <c r="F7" s="7">
        <v>8.55</v>
      </c>
      <c r="G7" s="8"/>
      <c r="H7" s="7">
        <v>183.0</v>
      </c>
      <c r="I7" s="7">
        <v>64.0</v>
      </c>
    </row>
    <row r="8">
      <c r="A8" s="5" t="s">
        <v>12</v>
      </c>
      <c r="B8" s="6" t="s">
        <v>13</v>
      </c>
      <c r="C8" s="8"/>
      <c r="D8" s="8"/>
      <c r="E8" s="9">
        <v>109.74</v>
      </c>
      <c r="F8" s="8"/>
      <c r="G8" s="8"/>
      <c r="H8" s="8"/>
      <c r="I8" s="8"/>
    </row>
    <row r="9">
      <c r="A9" s="5" t="s">
        <v>14</v>
      </c>
      <c r="B9" s="6" t="s">
        <v>15</v>
      </c>
      <c r="C9" s="7" t="s">
        <v>5</v>
      </c>
      <c r="D9" s="7" t="s">
        <v>5</v>
      </c>
      <c r="E9" s="7" t="s">
        <v>5</v>
      </c>
      <c r="F9" s="7" t="s">
        <v>5</v>
      </c>
      <c r="G9" s="7" t="s">
        <v>5</v>
      </c>
      <c r="H9" s="7" t="s">
        <v>5</v>
      </c>
      <c r="I9" s="7" t="s">
        <v>5</v>
      </c>
    </row>
    <row r="10">
      <c r="A10" s="5" t="s">
        <v>16</v>
      </c>
      <c r="B10" s="6" t="s">
        <v>17</v>
      </c>
      <c r="C10" s="7" t="s">
        <v>5</v>
      </c>
      <c r="D10" s="7" t="s">
        <v>5</v>
      </c>
      <c r="E10" s="7" t="s">
        <v>5</v>
      </c>
      <c r="F10" s="7" t="s">
        <v>5</v>
      </c>
      <c r="G10" s="7" t="s">
        <v>5</v>
      </c>
      <c r="H10" s="7" t="s">
        <v>5</v>
      </c>
      <c r="I10" s="7">
        <v>143.55</v>
      </c>
    </row>
    <row r="11">
      <c r="A11" s="5" t="s">
        <v>18</v>
      </c>
      <c r="B11" s="6" t="s">
        <v>19</v>
      </c>
      <c r="C11" s="7" t="s">
        <v>5</v>
      </c>
      <c r="D11" s="7" t="s">
        <v>5</v>
      </c>
      <c r="E11" s="7" t="s">
        <v>5</v>
      </c>
      <c r="F11" s="7" t="s">
        <v>5</v>
      </c>
      <c r="G11" s="7" t="s">
        <v>5</v>
      </c>
      <c r="H11" s="7" t="s">
        <v>5</v>
      </c>
      <c r="I11" s="7" t="s">
        <v>5</v>
      </c>
    </row>
    <row r="12">
      <c r="A12" s="5" t="s">
        <v>20</v>
      </c>
      <c r="B12" s="6" t="s">
        <v>21</v>
      </c>
      <c r="C12" s="7" t="s">
        <v>5</v>
      </c>
      <c r="D12" s="7" t="s">
        <v>5</v>
      </c>
      <c r="E12" s="7" t="s">
        <v>5</v>
      </c>
      <c r="F12" s="10">
        <v>1.21</v>
      </c>
      <c r="G12" s="7" t="s">
        <v>5</v>
      </c>
      <c r="H12" s="7" t="s">
        <v>5</v>
      </c>
      <c r="I12" s="7" t="s">
        <v>5</v>
      </c>
    </row>
    <row r="13">
      <c r="A13" s="5" t="s">
        <v>22</v>
      </c>
      <c r="B13" s="6" t="s">
        <v>23</v>
      </c>
      <c r="C13" s="7">
        <v>32.18</v>
      </c>
      <c r="D13" s="7">
        <v>59.86</v>
      </c>
      <c r="E13" s="7">
        <v>18.39</v>
      </c>
      <c r="F13" s="8"/>
      <c r="G13" s="8"/>
      <c r="H13" s="7">
        <v>92.5</v>
      </c>
      <c r="I13" s="7">
        <v>100.0</v>
      </c>
    </row>
    <row r="14">
      <c r="A14" s="5" t="s">
        <v>24</v>
      </c>
      <c r="B14" s="6" t="s">
        <v>25</v>
      </c>
      <c r="C14" s="7">
        <v>23.37</v>
      </c>
      <c r="D14" s="7">
        <v>39.15</v>
      </c>
      <c r="E14" s="7">
        <v>40.04</v>
      </c>
      <c r="F14" s="7">
        <v>54.81</v>
      </c>
      <c r="G14" s="8"/>
      <c r="H14" s="7">
        <v>907.0</v>
      </c>
      <c r="I14" s="7">
        <v>233.0</v>
      </c>
    </row>
    <row r="15">
      <c r="A15" s="5" t="s">
        <v>26</v>
      </c>
      <c r="B15" s="6" t="s">
        <v>27</v>
      </c>
      <c r="C15" s="7" t="s">
        <v>5</v>
      </c>
      <c r="D15" s="7" t="s">
        <v>5</v>
      </c>
      <c r="E15" s="7" t="s">
        <v>5</v>
      </c>
      <c r="F15" s="7" t="s">
        <v>5</v>
      </c>
      <c r="G15" s="7" t="s">
        <v>5</v>
      </c>
      <c r="H15" s="7" t="s">
        <v>5</v>
      </c>
      <c r="I15" s="7">
        <v>104.0</v>
      </c>
    </row>
    <row r="16">
      <c r="A16" s="5" t="s">
        <v>28</v>
      </c>
      <c r="B16" s="6" t="s">
        <v>29</v>
      </c>
      <c r="C16" s="7" t="s">
        <v>5</v>
      </c>
      <c r="D16" s="7" t="s">
        <v>5</v>
      </c>
      <c r="E16" s="7" t="s">
        <v>5</v>
      </c>
      <c r="F16" s="7" t="s">
        <v>5</v>
      </c>
      <c r="G16" s="7" t="s">
        <v>5</v>
      </c>
      <c r="H16" s="7" t="s">
        <v>5</v>
      </c>
      <c r="I16" s="7" t="s">
        <v>5</v>
      </c>
    </row>
    <row r="17">
      <c r="A17" s="5" t="s">
        <v>30</v>
      </c>
      <c r="B17" s="6" t="s">
        <v>31</v>
      </c>
      <c r="C17" s="7" t="s">
        <v>5</v>
      </c>
      <c r="D17" s="7" t="s">
        <v>5</v>
      </c>
      <c r="E17" s="7" t="s">
        <v>5</v>
      </c>
      <c r="F17" s="7" t="s">
        <v>5</v>
      </c>
      <c r="G17" s="7" t="s">
        <v>5</v>
      </c>
      <c r="H17" s="7">
        <v>80.0</v>
      </c>
      <c r="I17" s="7">
        <v>160.0</v>
      </c>
    </row>
    <row r="18">
      <c r="A18" s="5" t="s">
        <v>32</v>
      </c>
      <c r="B18" s="6" t="s">
        <v>33</v>
      </c>
      <c r="C18" s="7">
        <v>3.71</v>
      </c>
      <c r="D18" s="7">
        <v>3.33</v>
      </c>
      <c r="E18" s="7">
        <v>4.56</v>
      </c>
      <c r="F18" s="7">
        <v>11.81</v>
      </c>
      <c r="G18" s="7">
        <v>40.24</v>
      </c>
      <c r="H18" s="7">
        <v>50.63</v>
      </c>
      <c r="I18" s="7">
        <v>29.72</v>
      </c>
    </row>
    <row r="19">
      <c r="A19" s="5" t="s">
        <v>34</v>
      </c>
      <c r="B19" s="6" t="s">
        <v>35</v>
      </c>
      <c r="C19" s="7" t="s">
        <v>5</v>
      </c>
      <c r="D19" s="7">
        <v>5.0</v>
      </c>
      <c r="E19" s="7">
        <v>17.0</v>
      </c>
      <c r="F19" s="7">
        <v>38.0</v>
      </c>
      <c r="G19" s="7">
        <v>45.0</v>
      </c>
      <c r="H19" s="7">
        <v>50.0</v>
      </c>
      <c r="I19" s="7">
        <v>10.0</v>
      </c>
    </row>
    <row r="20">
      <c r="A20" s="5" t="s">
        <v>36</v>
      </c>
      <c r="B20" s="6" t="s">
        <v>37</v>
      </c>
      <c r="C20" s="7">
        <v>0.11</v>
      </c>
      <c r="D20" s="7">
        <v>0.13</v>
      </c>
      <c r="E20" s="7">
        <v>0.31</v>
      </c>
      <c r="F20" s="7" t="s">
        <v>5</v>
      </c>
      <c r="G20" s="7">
        <v>0.41</v>
      </c>
      <c r="H20" s="7">
        <v>0.52</v>
      </c>
      <c r="I20" s="7" t="s">
        <v>5</v>
      </c>
    </row>
    <row r="21">
      <c r="A21" s="5" t="s">
        <v>38</v>
      </c>
      <c r="B21" s="6" t="s">
        <v>39</v>
      </c>
      <c r="C21" s="7">
        <v>2.69</v>
      </c>
      <c r="D21" s="7" t="s">
        <v>5</v>
      </c>
      <c r="E21" s="7" t="s">
        <v>5</v>
      </c>
      <c r="F21" s="7" t="s">
        <v>5</v>
      </c>
      <c r="G21" s="7" t="s">
        <v>5</v>
      </c>
      <c r="H21" s="7" t="s">
        <v>5</v>
      </c>
      <c r="I21" s="7">
        <v>5.27</v>
      </c>
    </row>
    <row r="22">
      <c r="A22" s="5" t="s">
        <v>40</v>
      </c>
      <c r="B22" s="6" t="s">
        <v>41</v>
      </c>
      <c r="C22" s="7" t="s">
        <v>5</v>
      </c>
      <c r="D22" s="7" t="s">
        <v>5</v>
      </c>
      <c r="E22" s="7" t="s">
        <v>5</v>
      </c>
      <c r="F22" s="7" t="s">
        <v>5</v>
      </c>
      <c r="G22" s="7" t="s">
        <v>5</v>
      </c>
      <c r="H22" s="7" t="s">
        <v>5</v>
      </c>
      <c r="I22" s="7">
        <v>1.0</v>
      </c>
    </row>
    <row r="23">
      <c r="A23" s="5" t="s">
        <v>42</v>
      </c>
      <c r="B23" s="6" t="s">
        <v>43</v>
      </c>
      <c r="C23" s="7">
        <v>16.61</v>
      </c>
      <c r="D23" s="7">
        <v>15.24</v>
      </c>
      <c r="E23" s="7">
        <v>12.55</v>
      </c>
      <c r="F23" s="7">
        <v>51.03</v>
      </c>
      <c r="G23" s="7" t="s">
        <v>5</v>
      </c>
      <c r="H23" s="7" t="s">
        <v>5</v>
      </c>
      <c r="I23" s="7" t="s">
        <v>5</v>
      </c>
    </row>
    <row r="24">
      <c r="A24" s="5" t="s">
        <v>44</v>
      </c>
      <c r="B24" s="6" t="s">
        <v>45</v>
      </c>
      <c r="C24" s="7">
        <v>22.81</v>
      </c>
      <c r="D24" s="7">
        <v>11.8</v>
      </c>
      <c r="E24" s="7">
        <v>10.21</v>
      </c>
      <c r="F24" s="7">
        <v>26.89</v>
      </c>
      <c r="G24" s="7">
        <v>9.15</v>
      </c>
      <c r="H24" s="7" t="s">
        <v>5</v>
      </c>
      <c r="I24" s="7" t="s">
        <v>5</v>
      </c>
    </row>
    <row r="25">
      <c r="A25" s="5" t="s">
        <v>46</v>
      </c>
      <c r="B25" s="6" t="s">
        <v>47</v>
      </c>
      <c r="C25" s="7">
        <v>37.69</v>
      </c>
      <c r="D25" s="7">
        <v>38.19</v>
      </c>
      <c r="E25" s="7">
        <v>144.1</v>
      </c>
      <c r="F25" s="7" t="s">
        <v>5</v>
      </c>
      <c r="G25" s="7" t="s">
        <v>5</v>
      </c>
      <c r="H25" s="7" t="s">
        <v>5</v>
      </c>
      <c r="I25" s="7" t="s">
        <v>5</v>
      </c>
    </row>
    <row r="26">
      <c r="A26" s="5" t="s">
        <v>48</v>
      </c>
      <c r="B26" s="6" t="s">
        <v>49</v>
      </c>
      <c r="C26" s="7">
        <v>78.0</v>
      </c>
      <c r="D26" s="7">
        <v>50.0</v>
      </c>
      <c r="E26" s="7">
        <v>39.0</v>
      </c>
      <c r="F26" s="8"/>
      <c r="G26" s="7">
        <v>78.0</v>
      </c>
      <c r="H26" s="7">
        <v>100.0</v>
      </c>
      <c r="I26" s="7">
        <v>78.0</v>
      </c>
    </row>
    <row r="27">
      <c r="A27" s="5" t="s">
        <v>50</v>
      </c>
      <c r="B27" s="6" t="s">
        <v>51</v>
      </c>
      <c r="C27" s="7" t="s">
        <v>5</v>
      </c>
      <c r="D27" s="7" t="s">
        <v>5</v>
      </c>
      <c r="E27" s="7" t="s">
        <v>5</v>
      </c>
      <c r="F27" s="7">
        <v>19.56</v>
      </c>
      <c r="G27" s="7">
        <v>72.61</v>
      </c>
      <c r="H27" s="7">
        <v>99.19</v>
      </c>
      <c r="I27" s="7" t="s">
        <v>5</v>
      </c>
    </row>
    <row r="28">
      <c r="A28" s="5" t="s">
        <v>52</v>
      </c>
      <c r="B28" s="6" t="s">
        <v>53</v>
      </c>
      <c r="C28" s="7" t="s">
        <v>5</v>
      </c>
      <c r="D28" s="7" t="s">
        <v>5</v>
      </c>
      <c r="E28" s="7" t="s">
        <v>5</v>
      </c>
      <c r="F28" s="7" t="s">
        <v>5</v>
      </c>
      <c r="G28" s="7">
        <v>7.7</v>
      </c>
      <c r="H28" s="7">
        <v>5.9</v>
      </c>
      <c r="I28" s="7">
        <v>10.5</v>
      </c>
    </row>
    <row r="29">
      <c r="A29" s="5" t="s">
        <v>54</v>
      </c>
      <c r="B29" s="6" t="s">
        <v>55</v>
      </c>
      <c r="C29" s="7" t="s">
        <v>5</v>
      </c>
      <c r="D29" s="7" t="s">
        <v>5</v>
      </c>
      <c r="E29" s="7" t="s">
        <v>5</v>
      </c>
      <c r="F29" s="7" t="s">
        <v>5</v>
      </c>
      <c r="G29" s="7" t="s">
        <v>5</v>
      </c>
      <c r="H29" s="7" t="s">
        <v>5</v>
      </c>
      <c r="I29" s="7" t="s">
        <v>5</v>
      </c>
    </row>
    <row r="30">
      <c r="A30" s="5" t="s">
        <v>56</v>
      </c>
      <c r="B30" s="6" t="s">
        <v>57</v>
      </c>
      <c r="C30" s="7" t="s">
        <v>5</v>
      </c>
      <c r="D30" s="7" t="s">
        <v>5</v>
      </c>
      <c r="E30" s="7" t="s">
        <v>5</v>
      </c>
      <c r="F30" s="7" t="s">
        <v>5</v>
      </c>
      <c r="G30" s="7">
        <v>8.88</v>
      </c>
      <c r="H30" s="7">
        <v>23.54</v>
      </c>
      <c r="I30" s="7">
        <v>31.85</v>
      </c>
    </row>
    <row r="31">
      <c r="A31" s="5" t="s">
        <v>58</v>
      </c>
      <c r="B31" s="6" t="s">
        <v>59</v>
      </c>
      <c r="C31" s="7">
        <v>0.17</v>
      </c>
      <c r="D31" s="7">
        <v>0.2</v>
      </c>
      <c r="E31" s="7">
        <v>0.18</v>
      </c>
      <c r="F31" s="7">
        <v>0.24</v>
      </c>
      <c r="G31" s="7">
        <v>0.28</v>
      </c>
      <c r="H31" s="7">
        <v>0.33</v>
      </c>
      <c r="I31" s="7">
        <v>0.35</v>
      </c>
    </row>
    <row r="32">
      <c r="A32" s="5" t="s">
        <v>60</v>
      </c>
      <c r="B32" s="6" t="s">
        <v>61</v>
      </c>
      <c r="C32" s="7">
        <v>92.06</v>
      </c>
      <c r="D32" s="7">
        <v>184.11</v>
      </c>
      <c r="E32" s="7">
        <v>184.14</v>
      </c>
      <c r="F32" s="7" t="s">
        <v>5</v>
      </c>
      <c r="G32" s="7" t="s">
        <v>5</v>
      </c>
      <c r="H32" s="7" t="s">
        <v>5</v>
      </c>
      <c r="I32" s="7">
        <v>648.0</v>
      </c>
    </row>
    <row r="33">
      <c r="A33" s="5" t="s">
        <v>62</v>
      </c>
      <c r="B33" s="6" t="s">
        <v>63</v>
      </c>
      <c r="C33" s="7" t="s">
        <v>5</v>
      </c>
      <c r="D33" s="7" t="s">
        <v>5</v>
      </c>
      <c r="E33" s="7" t="s">
        <v>5</v>
      </c>
      <c r="F33" s="7" t="s">
        <v>5</v>
      </c>
      <c r="G33" s="7" t="s">
        <v>5</v>
      </c>
      <c r="H33" s="7">
        <v>75.0</v>
      </c>
      <c r="I33" s="7">
        <v>87.0</v>
      </c>
    </row>
    <row r="34">
      <c r="A34" s="5" t="s">
        <v>64</v>
      </c>
      <c r="B34" s="6" t="s">
        <v>65</v>
      </c>
      <c r="C34" s="7">
        <v>33.37</v>
      </c>
      <c r="D34" s="7">
        <v>30.0</v>
      </c>
      <c r="E34" s="7">
        <v>73.0</v>
      </c>
      <c r="F34" s="7" t="s">
        <v>5</v>
      </c>
      <c r="G34" s="7" t="s">
        <v>5</v>
      </c>
      <c r="H34" s="7" t="s">
        <v>5</v>
      </c>
      <c r="I34" s="7" t="s">
        <v>5</v>
      </c>
    </row>
    <row r="35">
      <c r="A35" s="5" t="s">
        <v>66</v>
      </c>
      <c r="B35" s="6" t="s">
        <v>67</v>
      </c>
      <c r="C35" s="7" t="s">
        <v>5</v>
      </c>
      <c r="D35" s="7" t="s">
        <v>5</v>
      </c>
      <c r="E35" s="7" t="s">
        <v>5</v>
      </c>
      <c r="F35" s="7" t="s">
        <v>5</v>
      </c>
      <c r="G35" s="7" t="s">
        <v>5</v>
      </c>
      <c r="H35" s="7" t="s">
        <v>5</v>
      </c>
      <c r="I35" s="7">
        <v>89.31</v>
      </c>
    </row>
    <row r="36">
      <c r="A36" s="5" t="s">
        <v>68</v>
      </c>
      <c r="B36" s="6" t="s">
        <v>69</v>
      </c>
      <c r="C36" s="7">
        <v>166.78</v>
      </c>
      <c r="D36" s="7">
        <v>304.19</v>
      </c>
      <c r="E36" s="7">
        <v>784.99</v>
      </c>
      <c r="F36" s="7" t="s">
        <v>5</v>
      </c>
      <c r="G36" s="7" t="s">
        <v>5</v>
      </c>
      <c r="H36" s="7">
        <v>824.26</v>
      </c>
      <c r="I36" s="7" t="s">
        <v>5</v>
      </c>
    </row>
    <row r="37">
      <c r="A37" s="5" t="s">
        <v>70</v>
      </c>
      <c r="B37" s="6" t="s">
        <v>71</v>
      </c>
      <c r="C37" s="7" t="s">
        <v>5</v>
      </c>
      <c r="D37" s="7" t="s">
        <v>5</v>
      </c>
      <c r="E37" s="7" t="s">
        <v>5</v>
      </c>
      <c r="F37" s="7" t="s">
        <v>5</v>
      </c>
      <c r="G37" s="7" t="s">
        <v>5</v>
      </c>
      <c r="H37" s="7" t="s">
        <v>5</v>
      </c>
      <c r="I37" s="7" t="s">
        <v>5</v>
      </c>
    </row>
    <row r="38">
      <c r="A38" s="5" t="s">
        <v>70</v>
      </c>
      <c r="B38" s="6" t="s">
        <v>72</v>
      </c>
      <c r="C38" s="7">
        <v>18.21</v>
      </c>
      <c r="D38" s="7">
        <v>3.48</v>
      </c>
      <c r="E38" s="7">
        <v>1.17</v>
      </c>
      <c r="F38" s="7" t="s">
        <v>5</v>
      </c>
      <c r="G38" s="7" t="s">
        <v>5</v>
      </c>
      <c r="H38" s="7" t="s">
        <v>5</v>
      </c>
      <c r="I38" s="7" t="s">
        <v>5</v>
      </c>
    </row>
    <row r="39">
      <c r="A39" s="5" t="s">
        <v>73</v>
      </c>
      <c r="B39" s="11" t="s">
        <v>74</v>
      </c>
      <c r="C39" s="7">
        <v>28.66</v>
      </c>
      <c r="D39" s="7">
        <v>42.75</v>
      </c>
      <c r="E39" s="7">
        <v>37.06</v>
      </c>
      <c r="F39" s="7">
        <v>33.85</v>
      </c>
      <c r="G39" s="7">
        <v>34.29</v>
      </c>
      <c r="H39" s="7">
        <v>35.0</v>
      </c>
      <c r="I39" s="7">
        <v>35.0</v>
      </c>
    </row>
    <row r="40">
      <c r="A40" s="5" t="s">
        <v>75</v>
      </c>
      <c r="B40" s="6" t="s">
        <v>76</v>
      </c>
      <c r="C40" s="7">
        <v>7.7</v>
      </c>
      <c r="D40" s="7">
        <v>7.93</v>
      </c>
      <c r="E40" s="7">
        <v>9.45</v>
      </c>
      <c r="F40" s="8"/>
      <c r="G40" s="7">
        <v>4.84</v>
      </c>
      <c r="H40" s="7">
        <v>17.35</v>
      </c>
      <c r="I40" s="7">
        <v>26.11</v>
      </c>
    </row>
    <row r="41">
      <c r="A41" s="5" t="s">
        <v>77</v>
      </c>
      <c r="B41" s="6" t="s">
        <v>78</v>
      </c>
      <c r="C41" s="7">
        <v>347.0</v>
      </c>
      <c r="D41" s="7">
        <v>396.0</v>
      </c>
      <c r="E41" s="7">
        <v>553.0</v>
      </c>
      <c r="F41" s="7">
        <v>793.0</v>
      </c>
      <c r="G41" s="7">
        <v>885.0</v>
      </c>
      <c r="H41" s="7">
        <v>1012.0</v>
      </c>
      <c r="I41" s="7">
        <v>938.0</v>
      </c>
    </row>
    <row r="42">
      <c r="A42" s="5" t="s">
        <v>79</v>
      </c>
      <c r="B42" s="6" t="s">
        <v>80</v>
      </c>
      <c r="C42" s="7" t="s">
        <v>5</v>
      </c>
      <c r="D42" s="12">
        <v>42.0</v>
      </c>
      <c r="E42" s="7">
        <v>162.76</v>
      </c>
      <c r="F42" s="7">
        <v>197.24</v>
      </c>
      <c r="G42" s="7">
        <v>930.0</v>
      </c>
      <c r="H42" s="7">
        <v>237.5</v>
      </c>
      <c r="I42" s="7">
        <v>45.0</v>
      </c>
    </row>
    <row r="43">
      <c r="A43" s="5" t="s">
        <v>81</v>
      </c>
      <c r="B43" s="6" t="s">
        <v>82</v>
      </c>
      <c r="C43" s="12">
        <v>17.36</v>
      </c>
      <c r="D43" s="12">
        <v>21.64</v>
      </c>
      <c r="E43" s="12">
        <v>34.66</v>
      </c>
      <c r="F43" s="7" t="s">
        <v>5</v>
      </c>
      <c r="G43" s="12">
        <v>25.43</v>
      </c>
      <c r="H43" s="7" t="s">
        <v>5</v>
      </c>
      <c r="I43" s="7" t="s">
        <v>5</v>
      </c>
    </row>
    <row r="44">
      <c r="A44" s="5" t="s">
        <v>83</v>
      </c>
      <c r="B44" s="6" t="s">
        <v>84</v>
      </c>
      <c r="C44" s="7" t="s">
        <v>5</v>
      </c>
      <c r="D44" s="7" t="s">
        <v>5</v>
      </c>
      <c r="E44" s="7" t="s">
        <v>5</v>
      </c>
      <c r="F44" s="7" t="s">
        <v>5</v>
      </c>
      <c r="G44" s="7" t="s">
        <v>5</v>
      </c>
      <c r="H44" s="7">
        <v>0.18</v>
      </c>
      <c r="I44" s="7">
        <v>0.79</v>
      </c>
    </row>
    <row r="45">
      <c r="A45" s="5" t="s">
        <v>85</v>
      </c>
      <c r="B45" s="6" t="s">
        <v>86</v>
      </c>
      <c r="C45" s="7">
        <v>22.71</v>
      </c>
      <c r="D45" s="7">
        <v>22.71</v>
      </c>
      <c r="E45" s="7">
        <v>45.43</v>
      </c>
      <c r="F45" s="7" t="s">
        <v>5</v>
      </c>
      <c r="G45" s="7" t="s">
        <v>5</v>
      </c>
      <c r="H45" s="7" t="s">
        <v>5</v>
      </c>
      <c r="I45" s="7" t="s">
        <v>5</v>
      </c>
    </row>
    <row r="46">
      <c r="A46" s="5" t="s">
        <v>87</v>
      </c>
      <c r="B46" s="6" t="s">
        <v>88</v>
      </c>
      <c r="C46" s="7">
        <v>306.6</v>
      </c>
      <c r="D46" s="7">
        <v>484.93</v>
      </c>
      <c r="E46" s="7">
        <v>654.63</v>
      </c>
      <c r="F46" s="7" t="s">
        <v>5</v>
      </c>
      <c r="G46" s="7" t="s">
        <v>5</v>
      </c>
      <c r="H46" s="7">
        <v>1301.75</v>
      </c>
      <c r="I46" s="7">
        <v>179.85</v>
      </c>
    </row>
    <row r="47">
      <c r="A47" s="5" t="s">
        <v>89</v>
      </c>
      <c r="B47" s="6" t="s">
        <v>90</v>
      </c>
      <c r="C47" s="7">
        <v>5.0</v>
      </c>
      <c r="D47" s="7">
        <v>5.0</v>
      </c>
      <c r="E47" s="7">
        <v>5.0</v>
      </c>
      <c r="F47" s="7">
        <v>4.56</v>
      </c>
      <c r="G47" s="7">
        <v>5.4465</v>
      </c>
      <c r="H47" s="7">
        <v>6.06</v>
      </c>
      <c r="I47" s="7">
        <v>2.71</v>
      </c>
    </row>
    <row r="48">
      <c r="A48" s="5" t="s">
        <v>89</v>
      </c>
      <c r="B48" s="6" t="s">
        <v>91</v>
      </c>
      <c r="C48" s="7">
        <v>5.0</v>
      </c>
      <c r="D48" s="7">
        <v>5.0</v>
      </c>
      <c r="E48" s="7">
        <v>5.0</v>
      </c>
      <c r="F48" s="7">
        <v>4.56</v>
      </c>
      <c r="G48" s="7">
        <v>5.4465</v>
      </c>
      <c r="H48" s="7">
        <v>6.06</v>
      </c>
      <c r="I48" s="7">
        <v>6.25</v>
      </c>
    </row>
    <row r="49">
      <c r="A49" s="5" t="s">
        <v>92</v>
      </c>
      <c r="B49" s="6" t="s">
        <v>93</v>
      </c>
      <c r="C49" s="7">
        <v>16.0</v>
      </c>
      <c r="D49" s="7">
        <v>18.7</v>
      </c>
      <c r="E49" s="7">
        <v>18.7</v>
      </c>
      <c r="F49" s="7" t="s">
        <v>5</v>
      </c>
      <c r="G49" s="7">
        <v>25.0</v>
      </c>
      <c r="H49" s="7">
        <v>33.3</v>
      </c>
      <c r="I49" s="7">
        <v>34.84</v>
      </c>
    </row>
    <row r="50">
      <c r="A50" s="5" t="s">
        <v>92</v>
      </c>
      <c r="B50" s="6" t="s">
        <v>94</v>
      </c>
      <c r="C50" s="7">
        <v>16.0</v>
      </c>
      <c r="D50" s="7">
        <v>18.7</v>
      </c>
      <c r="E50" s="7">
        <v>18.7</v>
      </c>
      <c r="F50" s="7" t="s">
        <v>5</v>
      </c>
      <c r="G50" s="7">
        <v>25.0</v>
      </c>
      <c r="H50" s="7">
        <v>33.3</v>
      </c>
      <c r="I50" s="7">
        <v>34.84</v>
      </c>
    </row>
    <row r="51">
      <c r="A51" s="5" t="s">
        <v>95</v>
      </c>
      <c r="B51" s="6" t="s">
        <v>96</v>
      </c>
      <c r="C51" s="7">
        <v>121.7</v>
      </c>
      <c r="D51" s="7">
        <v>106.39</v>
      </c>
      <c r="E51" s="7">
        <v>253.42</v>
      </c>
      <c r="F51" s="7" t="s">
        <v>5</v>
      </c>
      <c r="G51" s="7" t="s">
        <v>5</v>
      </c>
      <c r="H51" s="7">
        <v>309.93</v>
      </c>
      <c r="I51" s="7" t="s">
        <v>5</v>
      </c>
    </row>
    <row r="52">
      <c r="A52" s="5" t="s">
        <v>97</v>
      </c>
      <c r="B52" s="6" t="s">
        <v>98</v>
      </c>
      <c r="C52" s="7">
        <v>0.78</v>
      </c>
      <c r="D52" s="7">
        <v>3.97</v>
      </c>
      <c r="E52" s="7">
        <v>1.95</v>
      </c>
      <c r="F52" s="7">
        <v>4.5</v>
      </c>
      <c r="G52" s="7">
        <v>2.0</v>
      </c>
      <c r="H52" s="7">
        <v>6.0</v>
      </c>
      <c r="I52" s="7" t="s">
        <v>5</v>
      </c>
    </row>
    <row r="53">
      <c r="A53" s="5" t="s">
        <v>99</v>
      </c>
      <c r="B53" s="6" t="s">
        <v>100</v>
      </c>
      <c r="C53" s="7" t="s">
        <v>5</v>
      </c>
      <c r="D53" s="7" t="s">
        <v>5</v>
      </c>
      <c r="E53" s="7" t="s">
        <v>5</v>
      </c>
      <c r="F53" s="7" t="s">
        <v>5</v>
      </c>
      <c r="G53" s="7" t="s">
        <v>5</v>
      </c>
      <c r="H53" s="7">
        <v>1.14</v>
      </c>
      <c r="I53" s="7">
        <v>0.35</v>
      </c>
    </row>
    <row r="54">
      <c r="A54" s="5" t="s">
        <v>101</v>
      </c>
      <c r="B54" s="6" t="s">
        <v>102</v>
      </c>
      <c r="C54" s="7">
        <v>6.4E-4</v>
      </c>
      <c r="D54" s="7">
        <v>0.00104</v>
      </c>
      <c r="E54" s="7">
        <v>0.00107</v>
      </c>
      <c r="F54" s="7" t="s">
        <v>5</v>
      </c>
      <c r="G54" s="7" t="s">
        <v>5</v>
      </c>
      <c r="H54" s="7" t="s">
        <v>5</v>
      </c>
      <c r="I54" s="7" t="s">
        <v>5</v>
      </c>
    </row>
    <row r="55">
      <c r="A55" s="5" t="s">
        <v>103</v>
      </c>
      <c r="B55" s="6" t="s">
        <v>104</v>
      </c>
      <c r="C55" s="7">
        <v>107.06</v>
      </c>
      <c r="D55" s="7">
        <v>116.122</v>
      </c>
      <c r="E55" s="7">
        <v>92.2428</v>
      </c>
      <c r="F55" s="7">
        <v>104.974</v>
      </c>
      <c r="G55" s="7">
        <v>166.652</v>
      </c>
      <c r="H55" s="7">
        <v>177.2</v>
      </c>
      <c r="I55" s="7">
        <v>198.25</v>
      </c>
    </row>
    <row r="56">
      <c r="A56" s="5" t="s">
        <v>105</v>
      </c>
      <c r="B56" s="6" t="s">
        <v>106</v>
      </c>
      <c r="C56" s="7">
        <v>0.03674</v>
      </c>
      <c r="D56" s="7">
        <v>0.03568</v>
      </c>
      <c r="E56" s="7">
        <v>0.05305</v>
      </c>
      <c r="F56" s="7">
        <v>0.05305</v>
      </c>
      <c r="G56" s="7">
        <v>0.05025</v>
      </c>
      <c r="H56" s="7" t="s">
        <v>5</v>
      </c>
      <c r="I56" s="7" t="s">
        <v>5</v>
      </c>
    </row>
    <row r="57">
      <c r="A57" s="5" t="s">
        <v>107</v>
      </c>
      <c r="B57" s="6" t="s">
        <v>108</v>
      </c>
      <c r="C57" s="7">
        <v>0.01604</v>
      </c>
      <c r="D57" s="7">
        <v>0.0183</v>
      </c>
      <c r="E57" s="7">
        <v>0.01613</v>
      </c>
      <c r="F57" s="7" t="s">
        <v>5</v>
      </c>
      <c r="G57" s="7" t="s">
        <v>5</v>
      </c>
      <c r="H57" s="7" t="s">
        <v>5</v>
      </c>
      <c r="I57" s="7" t="s">
        <v>5</v>
      </c>
    </row>
    <row r="58">
      <c r="A58" s="5" t="s">
        <v>109</v>
      </c>
      <c r="B58" s="6" t="s">
        <v>110</v>
      </c>
      <c r="C58" s="7" t="s">
        <v>5</v>
      </c>
      <c r="D58" s="7" t="s">
        <v>5</v>
      </c>
      <c r="E58" s="7">
        <v>11.5</v>
      </c>
      <c r="F58" s="7" t="s">
        <v>5</v>
      </c>
      <c r="G58" s="7" t="s">
        <v>5</v>
      </c>
      <c r="H58" s="7">
        <v>45.1537</v>
      </c>
      <c r="I58" s="7" t="s">
        <v>5</v>
      </c>
    </row>
    <row r="59">
      <c r="A59" s="5" t="s">
        <v>111</v>
      </c>
      <c r="B59" s="6" t="s">
        <v>112</v>
      </c>
      <c r="C59" s="7">
        <v>177.0</v>
      </c>
      <c r="D59" s="7">
        <v>300.0</v>
      </c>
      <c r="E59" s="7">
        <v>558.0</v>
      </c>
      <c r="F59" s="7">
        <v>1098.0</v>
      </c>
      <c r="G59" s="7">
        <v>1020.0</v>
      </c>
      <c r="H59" s="7">
        <v>552.0</v>
      </c>
      <c r="I59" s="7">
        <v>360.0</v>
      </c>
    </row>
    <row r="60">
      <c r="A60" s="5" t="s">
        <v>113</v>
      </c>
      <c r="B60" s="6" t="s">
        <v>114</v>
      </c>
      <c r="C60" s="7">
        <v>0.14147</v>
      </c>
      <c r="D60" s="7">
        <v>0.085</v>
      </c>
      <c r="E60" s="7" t="s">
        <v>5</v>
      </c>
      <c r="F60" s="7" t="s">
        <v>5</v>
      </c>
      <c r="G60" s="7" t="s">
        <v>5</v>
      </c>
      <c r="H60" s="7" t="s">
        <v>5</v>
      </c>
      <c r="I60" s="7" t="s">
        <v>5</v>
      </c>
    </row>
    <row r="61">
      <c r="A61" s="5" t="s">
        <v>115</v>
      </c>
      <c r="B61" s="6" t="s">
        <v>116</v>
      </c>
      <c r="C61" s="7">
        <v>14.5</v>
      </c>
      <c r="D61" s="7" t="s">
        <v>5</v>
      </c>
      <c r="E61" s="7" t="s">
        <v>5</v>
      </c>
      <c r="F61" s="7" t="s">
        <v>5</v>
      </c>
      <c r="G61" s="7">
        <v>39.42</v>
      </c>
      <c r="H61" s="7">
        <v>248.2</v>
      </c>
      <c r="I61" s="7">
        <v>985.5</v>
      </c>
    </row>
    <row r="62">
      <c r="A62" s="5" t="s">
        <v>117</v>
      </c>
      <c r="B62" s="6" t="s">
        <v>118</v>
      </c>
      <c r="C62" s="7">
        <v>0.22206</v>
      </c>
      <c r="D62" s="7">
        <v>0.22206</v>
      </c>
      <c r="E62" s="7">
        <v>0.31722</v>
      </c>
      <c r="F62" s="7" t="s">
        <v>5</v>
      </c>
      <c r="G62" s="7" t="s">
        <v>5</v>
      </c>
      <c r="H62" s="7" t="s">
        <v>5</v>
      </c>
      <c r="I62" s="7" t="s">
        <v>5</v>
      </c>
    </row>
    <row r="63">
      <c r="A63" s="5" t="s">
        <v>119</v>
      </c>
      <c r="B63" s="6" t="s">
        <v>120</v>
      </c>
      <c r="C63" s="7" t="s">
        <v>5</v>
      </c>
      <c r="D63" s="7" t="s">
        <v>5</v>
      </c>
      <c r="E63" s="7" t="s">
        <v>5</v>
      </c>
      <c r="F63" s="7" t="s">
        <v>5</v>
      </c>
      <c r="G63" s="7" t="s">
        <v>5</v>
      </c>
      <c r="H63" s="7">
        <v>7.89</v>
      </c>
      <c r="I63" s="7">
        <v>5.79221</v>
      </c>
    </row>
    <row r="64">
      <c r="A64" s="5" t="s">
        <v>121</v>
      </c>
      <c r="B64" s="6" t="s">
        <v>122</v>
      </c>
      <c r="C64" s="7" t="s">
        <v>5</v>
      </c>
      <c r="D64" s="7" t="s">
        <v>5</v>
      </c>
      <c r="E64" s="7" t="s">
        <v>5</v>
      </c>
      <c r="F64" s="7">
        <v>1.06</v>
      </c>
      <c r="G64" s="7" t="s">
        <v>5</v>
      </c>
      <c r="H64" s="7" t="s">
        <v>5</v>
      </c>
      <c r="I64" s="7" t="s">
        <v>5</v>
      </c>
    </row>
    <row r="65">
      <c r="A65" s="5" t="s">
        <v>123</v>
      </c>
      <c r="B65" s="6" t="s">
        <v>124</v>
      </c>
      <c r="C65" s="7">
        <v>0.40803</v>
      </c>
      <c r="D65" s="7" t="s">
        <v>5</v>
      </c>
      <c r="E65" s="7" t="s">
        <v>5</v>
      </c>
      <c r="F65" s="7" t="s">
        <v>5</v>
      </c>
      <c r="G65" s="7" t="s">
        <v>5</v>
      </c>
      <c r="H65" s="7" t="s">
        <v>5</v>
      </c>
      <c r="I65" s="7" t="s">
        <v>5</v>
      </c>
    </row>
    <row r="66">
      <c r="A66" s="5" t="s">
        <v>125</v>
      </c>
      <c r="B66" s="6" t="s">
        <v>126</v>
      </c>
      <c r="C66" s="7">
        <v>0.21004</v>
      </c>
      <c r="D66" s="7">
        <v>0.12075</v>
      </c>
      <c r="E66" s="7">
        <v>0.17945</v>
      </c>
      <c r="F66" s="7">
        <v>0.22308</v>
      </c>
      <c r="G66" s="7">
        <v>0.18652</v>
      </c>
      <c r="H66" s="7">
        <v>0.16038</v>
      </c>
      <c r="I66" s="7" t="s">
        <v>5</v>
      </c>
    </row>
    <row r="67">
      <c r="A67" s="5" t="s">
        <v>127</v>
      </c>
      <c r="B67" s="6" t="s">
        <v>128</v>
      </c>
      <c r="C67" s="7" t="s">
        <v>5</v>
      </c>
      <c r="D67" s="7" t="s">
        <v>5</v>
      </c>
      <c r="E67" s="7">
        <v>82.0</v>
      </c>
      <c r="F67" s="7">
        <v>82.0</v>
      </c>
      <c r="G67" s="7" t="s">
        <v>5</v>
      </c>
      <c r="H67" s="7" t="s">
        <v>5</v>
      </c>
      <c r="I67" s="7" t="s">
        <v>5</v>
      </c>
    </row>
    <row r="68">
      <c r="A68" s="5" t="s">
        <v>129</v>
      </c>
      <c r="B68" s="6" t="s">
        <v>130</v>
      </c>
      <c r="C68" s="7">
        <v>31.04</v>
      </c>
      <c r="D68" s="7">
        <v>29.92</v>
      </c>
      <c r="E68" s="7">
        <v>51.41</v>
      </c>
      <c r="F68" s="7">
        <v>88.77</v>
      </c>
      <c r="G68" s="7">
        <v>95.08</v>
      </c>
      <c r="H68" s="7">
        <v>79.59</v>
      </c>
      <c r="I68" s="7">
        <v>82.15</v>
      </c>
    </row>
    <row r="69">
      <c r="A69" s="5" t="s">
        <v>131</v>
      </c>
      <c r="B69" s="6" t="s">
        <v>132</v>
      </c>
      <c r="C69" s="7">
        <v>26.67</v>
      </c>
      <c r="D69" s="7">
        <v>18.07</v>
      </c>
      <c r="E69" s="7">
        <v>24.97</v>
      </c>
      <c r="F69" s="7">
        <v>23.63</v>
      </c>
      <c r="G69" s="7">
        <v>38.36</v>
      </c>
      <c r="H69" s="7">
        <v>59.78</v>
      </c>
      <c r="I69" s="7">
        <v>51.15</v>
      </c>
    </row>
    <row r="70">
      <c r="A70" s="5" t="s">
        <v>133</v>
      </c>
      <c r="B70" s="6" t="s">
        <v>134</v>
      </c>
      <c r="C70" s="7">
        <v>0.7295</v>
      </c>
      <c r="D70" s="7">
        <v>3.6513</v>
      </c>
      <c r="E70" s="7">
        <v>6.67</v>
      </c>
      <c r="F70" s="7" t="s">
        <v>5</v>
      </c>
      <c r="G70" s="7">
        <v>4.29</v>
      </c>
      <c r="H70" s="7">
        <v>17.59</v>
      </c>
      <c r="I70" s="7" t="s">
        <v>5</v>
      </c>
    </row>
    <row r="71">
      <c r="A71" s="5" t="s">
        <v>135</v>
      </c>
      <c r="B71" s="6" t="s">
        <v>136</v>
      </c>
      <c r="C71" s="7">
        <v>119.11</v>
      </c>
      <c r="D71" s="7">
        <v>9.94</v>
      </c>
      <c r="E71" s="7">
        <v>28.82</v>
      </c>
      <c r="F71" s="7">
        <v>58.83</v>
      </c>
      <c r="G71" s="7">
        <v>62.11</v>
      </c>
      <c r="H71" s="7">
        <v>98.54</v>
      </c>
      <c r="I71" s="7">
        <v>74.85</v>
      </c>
    </row>
    <row r="72">
      <c r="A72" s="5" t="s">
        <v>135</v>
      </c>
      <c r="B72" s="6" t="s">
        <v>137</v>
      </c>
      <c r="C72" s="7">
        <v>119.11</v>
      </c>
      <c r="D72" s="7">
        <v>10.94</v>
      </c>
      <c r="E72" s="7">
        <v>28.82</v>
      </c>
      <c r="F72" s="7">
        <v>58.83</v>
      </c>
      <c r="G72" s="7">
        <v>62.11</v>
      </c>
      <c r="H72" s="7">
        <v>98.54</v>
      </c>
      <c r="I72" s="7">
        <v>74.85</v>
      </c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7.5"/>
    <col customWidth="1" min="3" max="3" width="10.5"/>
    <col customWidth="1" min="4" max="26" width="7.63"/>
  </cols>
  <sheetData>
    <row r="1">
      <c r="A1" s="13" t="s">
        <v>138</v>
      </c>
      <c r="B1" s="13" t="s">
        <v>139</v>
      </c>
      <c r="C1" s="13" t="s">
        <v>140</v>
      </c>
    </row>
    <row r="2">
      <c r="A2" s="14">
        <v>2001.0</v>
      </c>
      <c r="B2" s="15" t="s">
        <v>39</v>
      </c>
      <c r="C2" s="14">
        <v>0.03</v>
      </c>
    </row>
    <row r="3">
      <c r="A3" s="14">
        <v>2001.0</v>
      </c>
      <c r="B3" s="15" t="s">
        <v>78</v>
      </c>
      <c r="C3" s="14">
        <v>8.0</v>
      </c>
    </row>
    <row r="4">
      <c r="A4" s="14">
        <v>2001.0</v>
      </c>
      <c r="B4" s="15" t="s">
        <v>126</v>
      </c>
      <c r="C4" s="14">
        <v>0.007667</v>
      </c>
    </row>
    <row r="5">
      <c r="A5" s="14">
        <v>2001.0</v>
      </c>
      <c r="B5" s="15" t="s">
        <v>90</v>
      </c>
      <c r="C5" s="14">
        <v>0.1634</v>
      </c>
    </row>
    <row r="6">
      <c r="A6" s="14">
        <v>2001.0</v>
      </c>
      <c r="B6" s="15" t="s">
        <v>93</v>
      </c>
      <c r="C6" s="14">
        <v>0.0378</v>
      </c>
    </row>
    <row r="7">
      <c r="A7" s="14">
        <v>2002.0</v>
      </c>
      <c r="B7" s="15" t="s">
        <v>39</v>
      </c>
      <c r="C7" s="14">
        <v>0.06</v>
      </c>
    </row>
    <row r="8">
      <c r="A8" s="14">
        <v>2002.0</v>
      </c>
      <c r="B8" s="15" t="s">
        <v>45</v>
      </c>
      <c r="C8" s="14">
        <v>23.0</v>
      </c>
    </row>
    <row r="9">
      <c r="A9" s="14">
        <v>2002.0</v>
      </c>
      <c r="B9" s="15" t="s">
        <v>78</v>
      </c>
      <c r="C9" s="14">
        <v>15.0</v>
      </c>
    </row>
    <row r="10">
      <c r="A10" s="14">
        <v>2002.0</v>
      </c>
      <c r="B10" s="15" t="s">
        <v>126</v>
      </c>
      <c r="C10" s="14">
        <v>0.01837</v>
      </c>
    </row>
    <row r="11">
      <c r="A11" s="14">
        <v>2002.0</v>
      </c>
      <c r="B11" s="15" t="s">
        <v>90</v>
      </c>
      <c r="C11" s="14">
        <v>0.2144961</v>
      </c>
    </row>
    <row r="12">
      <c r="A12" s="14">
        <v>2002.0</v>
      </c>
      <c r="B12" s="15" t="s">
        <v>91</v>
      </c>
      <c r="C12" s="14">
        <v>0.9195237</v>
      </c>
    </row>
    <row r="13">
      <c r="A13" s="14">
        <v>2002.0</v>
      </c>
      <c r="B13" s="15" t="s">
        <v>93</v>
      </c>
      <c r="C13" s="14">
        <v>0.0525</v>
      </c>
    </row>
    <row r="14">
      <c r="A14" s="14">
        <v>2002.0</v>
      </c>
      <c r="B14" s="15" t="s">
        <v>94</v>
      </c>
      <c r="C14" s="14">
        <v>0.057</v>
      </c>
    </row>
    <row r="15">
      <c r="A15" s="14">
        <v>2002.0</v>
      </c>
      <c r="B15" s="15" t="s">
        <v>141</v>
      </c>
      <c r="C15" s="14">
        <v>0.033</v>
      </c>
    </row>
    <row r="16">
      <c r="A16" s="14">
        <v>2002.0</v>
      </c>
      <c r="B16" s="15" t="s">
        <v>142</v>
      </c>
      <c r="C16" s="14">
        <v>0.1</v>
      </c>
    </row>
    <row r="17">
      <c r="A17" s="14">
        <v>2002.0</v>
      </c>
      <c r="B17" s="15" t="s">
        <v>136</v>
      </c>
      <c r="C17" s="14">
        <v>0.1</v>
      </c>
    </row>
    <row r="18">
      <c r="A18" s="14">
        <v>2002.0</v>
      </c>
      <c r="B18" s="15" t="s">
        <v>137</v>
      </c>
      <c r="C18" s="14">
        <v>1.0</v>
      </c>
    </row>
    <row r="19">
      <c r="A19" s="14">
        <v>2003.0</v>
      </c>
      <c r="B19" s="15" t="s">
        <v>39</v>
      </c>
      <c r="C19" s="14">
        <v>0.29</v>
      </c>
    </row>
    <row r="20">
      <c r="A20" s="14">
        <v>2003.0</v>
      </c>
      <c r="B20" s="15" t="s">
        <v>45</v>
      </c>
      <c r="C20" s="14">
        <v>63.8</v>
      </c>
    </row>
    <row r="21">
      <c r="A21" s="14">
        <v>2003.0</v>
      </c>
      <c r="B21" s="15" t="s">
        <v>78</v>
      </c>
      <c r="C21" s="14">
        <v>19.5</v>
      </c>
    </row>
    <row r="22">
      <c r="A22" s="14">
        <v>2003.0</v>
      </c>
      <c r="B22" s="15" t="s">
        <v>126</v>
      </c>
      <c r="C22" s="14">
        <v>0.0184</v>
      </c>
    </row>
    <row r="23">
      <c r="A23" s="14">
        <v>2003.0</v>
      </c>
      <c r="B23" s="15" t="s">
        <v>90</v>
      </c>
      <c r="C23" s="14">
        <v>0.54347</v>
      </c>
    </row>
    <row r="24">
      <c r="A24" s="14">
        <v>2003.0</v>
      </c>
      <c r="B24" s="15" t="s">
        <v>91</v>
      </c>
      <c r="C24" s="14">
        <v>1.27472</v>
      </c>
    </row>
    <row r="25">
      <c r="A25" s="14">
        <v>2003.0</v>
      </c>
      <c r="B25" s="15" t="s">
        <v>93</v>
      </c>
      <c r="C25" s="14">
        <v>0.1083</v>
      </c>
    </row>
    <row r="26">
      <c r="A26" s="14">
        <v>2003.0</v>
      </c>
      <c r="B26" s="15" t="s">
        <v>94</v>
      </c>
      <c r="C26" s="14">
        <v>0.116</v>
      </c>
    </row>
    <row r="27">
      <c r="A27" s="14">
        <v>2003.0</v>
      </c>
      <c r="B27" s="15" t="s">
        <v>141</v>
      </c>
      <c r="C27" s="14">
        <v>0.032</v>
      </c>
    </row>
    <row r="28">
      <c r="A28" s="14">
        <v>2003.0</v>
      </c>
      <c r="B28" s="15" t="s">
        <v>142</v>
      </c>
      <c r="C28" s="14">
        <v>0.096</v>
      </c>
    </row>
    <row r="29">
      <c r="A29" s="14">
        <v>2003.0</v>
      </c>
      <c r="B29" s="15" t="s">
        <v>136</v>
      </c>
      <c r="C29" s="14">
        <v>0.1</v>
      </c>
    </row>
    <row r="30">
      <c r="A30" s="14">
        <v>2003.0</v>
      </c>
      <c r="B30" s="15" t="s">
        <v>137</v>
      </c>
      <c r="C30" s="14">
        <v>1.0</v>
      </c>
    </row>
    <row r="31">
      <c r="A31" s="14">
        <v>2004.0</v>
      </c>
      <c r="B31" s="15" t="s">
        <v>39</v>
      </c>
      <c r="C31" s="14">
        <v>0.4369</v>
      </c>
    </row>
    <row r="32">
      <c r="A32" s="14">
        <v>2004.0</v>
      </c>
      <c r="B32" s="15" t="s">
        <v>45</v>
      </c>
      <c r="C32" s="14">
        <v>41.1</v>
      </c>
    </row>
    <row r="33">
      <c r="A33" s="14">
        <v>2004.0</v>
      </c>
      <c r="B33" s="15" t="s">
        <v>78</v>
      </c>
      <c r="C33" s="14">
        <v>24.0</v>
      </c>
    </row>
    <row r="34">
      <c r="A34" s="14">
        <v>2004.0</v>
      </c>
      <c r="B34" s="15" t="s">
        <v>126</v>
      </c>
      <c r="C34" s="14">
        <v>0.0217</v>
      </c>
    </row>
    <row r="35">
      <c r="A35" s="14">
        <v>2004.0</v>
      </c>
      <c r="B35" s="15" t="s">
        <v>90</v>
      </c>
      <c r="C35" s="14">
        <v>0.87807</v>
      </c>
    </row>
    <row r="36">
      <c r="A36" s="14">
        <v>2004.0</v>
      </c>
      <c r="B36" s="15" t="s">
        <v>91</v>
      </c>
      <c r="C36" s="14">
        <v>3.25301</v>
      </c>
    </row>
    <row r="37">
      <c r="A37" s="14">
        <v>2004.0</v>
      </c>
      <c r="B37" s="15" t="s">
        <v>93</v>
      </c>
      <c r="C37" s="14">
        <v>0.1337</v>
      </c>
    </row>
    <row r="38">
      <c r="A38" s="14">
        <v>2004.0</v>
      </c>
      <c r="B38" s="15" t="s">
        <v>94</v>
      </c>
      <c r="C38" s="14">
        <v>0.144</v>
      </c>
    </row>
    <row r="39">
      <c r="A39" s="14">
        <v>2004.0</v>
      </c>
      <c r="B39" s="15" t="s">
        <v>141</v>
      </c>
      <c r="C39" s="14">
        <v>0.14</v>
      </c>
    </row>
    <row r="40">
      <c r="A40" s="14">
        <v>2004.0</v>
      </c>
      <c r="B40" s="15" t="s">
        <v>142</v>
      </c>
      <c r="C40" s="14">
        <v>0.16</v>
      </c>
    </row>
    <row r="41">
      <c r="A41" s="14">
        <v>2004.0</v>
      </c>
      <c r="B41" s="15" t="s">
        <v>136</v>
      </c>
      <c r="C41" s="14">
        <v>0.97</v>
      </c>
    </row>
    <row r="42">
      <c r="A42" s="14">
        <v>2004.0</v>
      </c>
      <c r="B42" s="15" t="s">
        <v>137</v>
      </c>
      <c r="C42" s="14">
        <v>2.0</v>
      </c>
    </row>
    <row r="43">
      <c r="A43" s="14">
        <v>2005.0</v>
      </c>
      <c r="B43" s="15" t="s">
        <v>39</v>
      </c>
      <c r="C43" s="14">
        <v>0.7</v>
      </c>
    </row>
    <row r="44">
      <c r="A44" s="14">
        <v>2005.0</v>
      </c>
      <c r="B44" s="15" t="s">
        <v>45</v>
      </c>
      <c r="C44" s="14">
        <v>71.0</v>
      </c>
    </row>
    <row r="45">
      <c r="A45" s="14">
        <v>2005.0</v>
      </c>
      <c r="B45" s="15" t="s">
        <v>78</v>
      </c>
      <c r="C45" s="14">
        <v>28.0</v>
      </c>
    </row>
    <row r="46">
      <c r="A46" s="14">
        <v>2005.0</v>
      </c>
      <c r="B46" s="15" t="s">
        <v>126</v>
      </c>
      <c r="C46" s="14">
        <v>0.0221</v>
      </c>
    </row>
    <row r="47">
      <c r="A47" s="14">
        <v>2005.0</v>
      </c>
      <c r="B47" s="15" t="s">
        <v>90</v>
      </c>
      <c r="C47" s="14">
        <v>1.4593</v>
      </c>
    </row>
    <row r="48">
      <c r="A48" s="14">
        <v>2005.0</v>
      </c>
      <c r="B48" s="15" t="s">
        <v>91</v>
      </c>
      <c r="C48" s="14">
        <v>2.9738</v>
      </c>
    </row>
    <row r="49">
      <c r="A49" s="14">
        <v>2005.0</v>
      </c>
      <c r="B49" s="15" t="s">
        <v>93</v>
      </c>
      <c r="C49" s="14">
        <v>0.1728</v>
      </c>
    </row>
    <row r="50">
      <c r="A50" s="14">
        <v>2005.0</v>
      </c>
      <c r="B50" s="15" t="s">
        <v>94</v>
      </c>
      <c r="C50" s="14">
        <v>0.1895</v>
      </c>
    </row>
    <row r="51">
      <c r="A51" s="14">
        <v>2005.0</v>
      </c>
      <c r="B51" s="15" t="s">
        <v>143</v>
      </c>
      <c r="C51" s="14">
        <v>13.91</v>
      </c>
    </row>
    <row r="52">
      <c r="A52" s="14">
        <v>2005.0</v>
      </c>
      <c r="B52" s="15" t="s">
        <v>141</v>
      </c>
      <c r="C52" s="14">
        <v>0.4</v>
      </c>
    </row>
    <row r="53">
      <c r="A53" s="14">
        <v>2005.0</v>
      </c>
      <c r="B53" s="15" t="s">
        <v>142</v>
      </c>
      <c r="C53" s="14">
        <v>0.607</v>
      </c>
    </row>
    <row r="54">
      <c r="A54" s="14">
        <v>2005.0</v>
      </c>
      <c r="B54" s="15" t="s">
        <v>136</v>
      </c>
      <c r="C54" s="14">
        <v>0.23</v>
      </c>
    </row>
    <row r="55">
      <c r="A55" s="14">
        <v>2005.0</v>
      </c>
      <c r="B55" s="15" t="s">
        <v>137</v>
      </c>
      <c r="C55" s="14">
        <v>1.0</v>
      </c>
    </row>
    <row r="56">
      <c r="A56" s="14">
        <v>2006.0</v>
      </c>
      <c r="B56" s="15" t="s">
        <v>39</v>
      </c>
      <c r="C56" s="14">
        <v>0.8202</v>
      </c>
    </row>
    <row r="57">
      <c r="A57" s="14">
        <v>2006.0</v>
      </c>
      <c r="B57" s="15" t="s">
        <v>43</v>
      </c>
      <c r="C57" s="14">
        <v>1.5</v>
      </c>
    </row>
    <row r="58">
      <c r="A58" s="14">
        <v>2006.0</v>
      </c>
      <c r="B58" s="15" t="s">
        <v>45</v>
      </c>
      <c r="C58" s="14">
        <v>109.5</v>
      </c>
    </row>
    <row r="59">
      <c r="A59" s="14">
        <v>2006.0</v>
      </c>
      <c r="B59" s="15" t="s">
        <v>78</v>
      </c>
      <c r="C59" s="14">
        <v>33.0</v>
      </c>
    </row>
    <row r="60">
      <c r="A60" s="14">
        <v>2006.0</v>
      </c>
      <c r="B60" s="15" t="s">
        <v>126</v>
      </c>
      <c r="C60" s="14">
        <v>0.0161</v>
      </c>
    </row>
    <row r="61">
      <c r="A61" s="14">
        <v>2006.0</v>
      </c>
      <c r="B61" s="15" t="s">
        <v>144</v>
      </c>
      <c r="C61" s="14">
        <v>7.6</v>
      </c>
    </row>
    <row r="62">
      <c r="A62" s="14">
        <v>2006.0</v>
      </c>
      <c r="B62" s="15" t="s">
        <v>90</v>
      </c>
      <c r="C62" s="14">
        <v>1.5617</v>
      </c>
    </row>
    <row r="63">
      <c r="A63" s="14">
        <v>2006.0</v>
      </c>
      <c r="B63" s="15" t="s">
        <v>93</v>
      </c>
      <c r="C63" s="14">
        <v>0.2644</v>
      </c>
    </row>
    <row r="64">
      <c r="A64" s="14">
        <v>2006.0</v>
      </c>
      <c r="B64" s="15" t="s">
        <v>94</v>
      </c>
      <c r="C64" s="14">
        <v>0.295</v>
      </c>
    </row>
    <row r="65">
      <c r="A65" s="14">
        <v>2006.0</v>
      </c>
      <c r="B65" s="15" t="s">
        <v>143</v>
      </c>
      <c r="C65" s="14">
        <v>7.9</v>
      </c>
    </row>
    <row r="66">
      <c r="A66" s="14">
        <v>2006.0</v>
      </c>
      <c r="B66" s="15" t="s">
        <v>141</v>
      </c>
      <c r="C66" s="14">
        <v>0.8</v>
      </c>
    </row>
    <row r="67">
      <c r="A67" s="14">
        <v>2006.0</v>
      </c>
      <c r="B67" s="15" t="s">
        <v>142</v>
      </c>
      <c r="C67" s="14">
        <v>1.05</v>
      </c>
    </row>
    <row r="68">
      <c r="A68" s="14">
        <v>2006.0</v>
      </c>
      <c r="B68" s="15" t="s">
        <v>136</v>
      </c>
      <c r="C68" s="14">
        <v>1.0</v>
      </c>
    </row>
    <row r="69">
      <c r="A69" s="14">
        <v>2006.0</v>
      </c>
      <c r="B69" s="15" t="s">
        <v>104</v>
      </c>
      <c r="C69" s="14">
        <v>296.36</v>
      </c>
    </row>
    <row r="70">
      <c r="A70" s="14">
        <v>2007.0</v>
      </c>
      <c r="B70" s="15" t="s">
        <v>39</v>
      </c>
      <c r="C70" s="14">
        <v>1.287</v>
      </c>
    </row>
    <row r="71">
      <c r="A71" s="14">
        <v>2007.0</v>
      </c>
      <c r="B71" s="15" t="s">
        <v>96</v>
      </c>
      <c r="C71" s="14">
        <v>20.1</v>
      </c>
    </row>
    <row r="72">
      <c r="A72" s="14">
        <v>2007.0</v>
      </c>
      <c r="B72" s="15" t="s">
        <v>43</v>
      </c>
      <c r="C72" s="14">
        <v>2.54</v>
      </c>
    </row>
    <row r="73">
      <c r="A73" s="14">
        <v>2007.0</v>
      </c>
      <c r="B73" s="15" t="s">
        <v>45</v>
      </c>
      <c r="C73" s="14">
        <v>228.0</v>
      </c>
    </row>
    <row r="74">
      <c r="A74" s="14">
        <v>2007.0</v>
      </c>
      <c r="B74" s="15" t="s">
        <v>78</v>
      </c>
      <c r="C74" s="14">
        <v>38.0</v>
      </c>
    </row>
    <row r="75">
      <c r="A75" s="14">
        <v>2007.0</v>
      </c>
      <c r="B75" s="15" t="s">
        <v>69</v>
      </c>
      <c r="C75" s="14">
        <v>1.309</v>
      </c>
    </row>
    <row r="76">
      <c r="A76" s="14">
        <v>2007.0</v>
      </c>
      <c r="B76" s="15" t="s">
        <v>126</v>
      </c>
      <c r="C76" s="14">
        <v>0.0316</v>
      </c>
    </row>
    <row r="77">
      <c r="A77" s="14">
        <v>2007.0</v>
      </c>
      <c r="B77" s="15" t="s">
        <v>144</v>
      </c>
      <c r="C77" s="14">
        <v>9.7</v>
      </c>
    </row>
    <row r="78">
      <c r="A78" s="14">
        <v>2007.0</v>
      </c>
      <c r="B78" s="15" t="s">
        <v>82</v>
      </c>
      <c r="C78" s="14">
        <v>3.0</v>
      </c>
    </row>
    <row r="79">
      <c r="A79" s="14">
        <v>2007.0</v>
      </c>
      <c r="B79" s="15" t="s">
        <v>145</v>
      </c>
      <c r="C79" s="14">
        <v>1.93</v>
      </c>
    </row>
    <row r="80">
      <c r="A80" s="14">
        <v>2007.0</v>
      </c>
      <c r="B80" s="15" t="s">
        <v>88</v>
      </c>
      <c r="C80" s="14">
        <v>3.23</v>
      </c>
    </row>
    <row r="81">
      <c r="A81" s="14">
        <v>2007.0</v>
      </c>
      <c r="B81" s="15" t="s">
        <v>132</v>
      </c>
      <c r="C81" s="14">
        <v>1.33</v>
      </c>
    </row>
    <row r="82">
      <c r="A82" s="14">
        <v>2007.0</v>
      </c>
      <c r="B82" s="15" t="s">
        <v>90</v>
      </c>
      <c r="C82" s="14">
        <v>1.479</v>
      </c>
    </row>
    <row r="83">
      <c r="A83" s="14">
        <v>2007.0</v>
      </c>
      <c r="B83" s="15" t="s">
        <v>93</v>
      </c>
      <c r="C83" s="14">
        <v>0.3855</v>
      </c>
    </row>
    <row r="84">
      <c r="A84" s="14">
        <v>2007.0</v>
      </c>
      <c r="B84" s="15" t="s">
        <v>94</v>
      </c>
      <c r="C84" s="14">
        <v>0.465</v>
      </c>
    </row>
    <row r="85">
      <c r="A85" s="14">
        <v>2007.0</v>
      </c>
      <c r="B85" s="15" t="s">
        <v>143</v>
      </c>
      <c r="C85" s="14">
        <v>8.08</v>
      </c>
    </row>
    <row r="86">
      <c r="A86" s="14">
        <v>2007.0</v>
      </c>
      <c r="B86" s="15" t="s">
        <v>141</v>
      </c>
      <c r="C86" s="14">
        <v>0.53</v>
      </c>
    </row>
    <row r="87">
      <c r="A87" s="14">
        <v>2007.0</v>
      </c>
      <c r="B87" s="15" t="s">
        <v>142</v>
      </c>
      <c r="C87" s="14">
        <v>0.71</v>
      </c>
    </row>
    <row r="88">
      <c r="A88" s="14">
        <v>2007.0</v>
      </c>
      <c r="B88" s="15" t="s">
        <v>136</v>
      </c>
      <c r="C88" s="14">
        <v>4.6</v>
      </c>
    </row>
    <row r="89">
      <c r="A89" s="14">
        <v>2007.0</v>
      </c>
      <c r="B89" s="15" t="s">
        <v>104</v>
      </c>
      <c r="C89" s="14">
        <v>225.42</v>
      </c>
    </row>
    <row r="90">
      <c r="A90" s="14">
        <v>2008.0</v>
      </c>
      <c r="B90" s="15" t="s">
        <v>39</v>
      </c>
      <c r="C90" s="14">
        <v>1.367</v>
      </c>
    </row>
    <row r="91">
      <c r="A91" s="14">
        <v>2008.0</v>
      </c>
      <c r="B91" s="15" t="s">
        <v>96</v>
      </c>
      <c r="C91" s="14">
        <v>34.72</v>
      </c>
    </row>
    <row r="92">
      <c r="A92" s="14">
        <v>2008.0</v>
      </c>
      <c r="B92" s="15" t="s">
        <v>43</v>
      </c>
      <c r="C92" s="14">
        <v>2.66</v>
      </c>
    </row>
    <row r="93">
      <c r="A93" s="14">
        <v>2008.0</v>
      </c>
      <c r="B93" s="15" t="s">
        <v>45</v>
      </c>
      <c r="C93" s="14">
        <v>112.0</v>
      </c>
    </row>
    <row r="94">
      <c r="A94" s="14">
        <v>2008.0</v>
      </c>
      <c r="B94" s="15" t="s">
        <v>78</v>
      </c>
      <c r="C94" s="14">
        <v>42.0</v>
      </c>
    </row>
    <row r="95">
      <c r="A95" s="14">
        <v>2008.0</v>
      </c>
      <c r="B95" s="15" t="s">
        <v>69</v>
      </c>
      <c r="C95" s="14">
        <v>0.884</v>
      </c>
    </row>
    <row r="96">
      <c r="A96" s="14">
        <v>2008.0</v>
      </c>
      <c r="B96" s="15" t="s">
        <v>144</v>
      </c>
      <c r="C96" s="14">
        <v>14.8</v>
      </c>
    </row>
    <row r="97">
      <c r="A97" s="14">
        <v>2008.0</v>
      </c>
      <c r="B97" s="15" t="s">
        <v>82</v>
      </c>
      <c r="C97" s="14">
        <v>3.5</v>
      </c>
    </row>
    <row r="98">
      <c r="A98" s="14">
        <v>2008.0</v>
      </c>
      <c r="B98" s="15" t="s">
        <v>145</v>
      </c>
      <c r="C98" s="14">
        <v>2.52</v>
      </c>
    </row>
    <row r="99">
      <c r="A99" s="14">
        <v>2008.0</v>
      </c>
      <c r="B99" s="15" t="s">
        <v>88</v>
      </c>
      <c r="C99" s="14">
        <v>2.95</v>
      </c>
    </row>
    <row r="100">
      <c r="A100" s="14">
        <v>2008.0</v>
      </c>
      <c r="B100" s="15" t="s">
        <v>146</v>
      </c>
      <c r="C100" s="14">
        <v>5.25</v>
      </c>
    </row>
    <row r="101">
      <c r="A101" s="14">
        <v>2008.0</v>
      </c>
      <c r="B101" s="15" t="s">
        <v>132</v>
      </c>
      <c r="C101" s="14">
        <v>1.6</v>
      </c>
    </row>
    <row r="102">
      <c r="A102" s="14">
        <v>2008.0</v>
      </c>
      <c r="B102" s="15" t="s">
        <v>90</v>
      </c>
      <c r="C102" s="14">
        <v>1.9399</v>
      </c>
    </row>
    <row r="103">
      <c r="A103" s="14">
        <v>2008.0</v>
      </c>
      <c r="B103" s="15" t="s">
        <v>93</v>
      </c>
      <c r="C103" s="14">
        <v>0.51</v>
      </c>
    </row>
    <row r="104">
      <c r="A104" s="14">
        <v>2008.0</v>
      </c>
      <c r="B104" s="15" t="s">
        <v>94</v>
      </c>
      <c r="C104" s="14">
        <v>0.65</v>
      </c>
    </row>
    <row r="105">
      <c r="A105" s="14">
        <v>2008.0</v>
      </c>
      <c r="B105" s="15" t="s">
        <v>143</v>
      </c>
      <c r="C105" s="14">
        <v>5.4</v>
      </c>
    </row>
    <row r="106">
      <c r="A106" s="14">
        <v>2008.0</v>
      </c>
      <c r="B106" s="15" t="s">
        <v>141</v>
      </c>
      <c r="C106" s="14">
        <v>0.6</v>
      </c>
    </row>
    <row r="107">
      <c r="A107" s="14">
        <v>2008.0</v>
      </c>
      <c r="B107" s="15" t="s">
        <v>142</v>
      </c>
      <c r="C107" s="14">
        <v>0.82</v>
      </c>
    </row>
    <row r="108">
      <c r="A108" s="14">
        <v>2008.0</v>
      </c>
      <c r="B108" s="15" t="s">
        <v>136</v>
      </c>
      <c r="C108" s="14">
        <v>5.65</v>
      </c>
    </row>
    <row r="109">
      <c r="A109" s="14">
        <v>2008.0</v>
      </c>
      <c r="B109" s="15" t="s">
        <v>104</v>
      </c>
      <c r="C109" s="14">
        <v>258.54</v>
      </c>
    </row>
    <row r="110">
      <c r="A110" s="14">
        <v>2008.0</v>
      </c>
      <c r="B110" s="15" t="s">
        <v>9</v>
      </c>
      <c r="C110" s="14">
        <v>0.00134</v>
      </c>
    </row>
    <row r="111">
      <c r="A111" s="14">
        <v>2009.0</v>
      </c>
      <c r="B111" s="15" t="s">
        <v>39</v>
      </c>
      <c r="C111" s="14">
        <v>0.1818</v>
      </c>
    </row>
    <row r="112">
      <c r="A112" s="14">
        <v>2009.0</v>
      </c>
      <c r="B112" s="15" t="s">
        <v>43</v>
      </c>
      <c r="C112" s="14">
        <v>0.36</v>
      </c>
    </row>
    <row r="113">
      <c r="A113" s="14">
        <v>2009.0</v>
      </c>
      <c r="B113" s="15" t="s">
        <v>78</v>
      </c>
      <c r="C113" s="14">
        <v>50.0</v>
      </c>
    </row>
    <row r="114">
      <c r="A114" s="14">
        <v>2009.0</v>
      </c>
      <c r="B114" s="15" t="s">
        <v>144</v>
      </c>
      <c r="C114" s="14">
        <v>20.2</v>
      </c>
    </row>
    <row r="115">
      <c r="A115" s="14">
        <v>2009.0</v>
      </c>
      <c r="B115" s="15" t="s">
        <v>145</v>
      </c>
      <c r="C115" s="14">
        <v>1.52</v>
      </c>
    </row>
    <row r="116">
      <c r="A116" s="14">
        <v>2009.0</v>
      </c>
      <c r="B116" s="15" t="s">
        <v>88</v>
      </c>
      <c r="C116" s="14">
        <v>6.55</v>
      </c>
    </row>
    <row r="117">
      <c r="A117" s="14">
        <v>2009.0</v>
      </c>
      <c r="B117" s="15" t="s">
        <v>132</v>
      </c>
      <c r="C117" s="14">
        <v>1.92</v>
      </c>
    </row>
    <row r="118">
      <c r="A118" s="14">
        <v>2009.0</v>
      </c>
      <c r="B118" s="15" t="s">
        <v>90</v>
      </c>
      <c r="C118" s="14">
        <v>1.941</v>
      </c>
    </row>
    <row r="119">
      <c r="A119" s="14">
        <v>2009.0</v>
      </c>
      <c r="B119" s="15" t="s">
        <v>93</v>
      </c>
      <c r="C119" s="14">
        <v>0.48</v>
      </c>
    </row>
    <row r="120">
      <c r="A120" s="14">
        <v>2009.0</v>
      </c>
      <c r="B120" s="15" t="s">
        <v>94</v>
      </c>
      <c r="C120" s="14">
        <v>0.63</v>
      </c>
    </row>
    <row r="121">
      <c r="A121" s="14">
        <v>2009.0</v>
      </c>
      <c r="B121" s="15" t="s">
        <v>143</v>
      </c>
      <c r="C121" s="14">
        <v>5.4</v>
      </c>
    </row>
    <row r="122">
      <c r="A122" s="14">
        <v>2009.0</v>
      </c>
      <c r="B122" s="15" t="s">
        <v>141</v>
      </c>
      <c r="C122" s="14">
        <v>0.6</v>
      </c>
    </row>
    <row r="123">
      <c r="A123" s="14">
        <v>2009.0</v>
      </c>
      <c r="B123" s="15" t="s">
        <v>142</v>
      </c>
      <c r="C123" s="14">
        <v>1.326</v>
      </c>
    </row>
    <row r="124">
      <c r="A124" s="14">
        <v>2009.0</v>
      </c>
      <c r="B124" s="15" t="s">
        <v>136</v>
      </c>
      <c r="C124" s="14">
        <v>4.42</v>
      </c>
    </row>
    <row r="125">
      <c r="A125" s="14">
        <v>2009.0</v>
      </c>
      <c r="B125" s="15" t="s">
        <v>104</v>
      </c>
      <c r="C125" s="14">
        <v>236.78</v>
      </c>
    </row>
    <row r="126">
      <c r="A126" s="14">
        <v>2009.0</v>
      </c>
      <c r="B126" s="15" t="s">
        <v>9</v>
      </c>
      <c r="C126" s="14">
        <v>4.47E-4</v>
      </c>
    </row>
    <row r="127">
      <c r="A127" s="14">
        <v>2010.0</v>
      </c>
      <c r="B127" s="15" t="s">
        <v>39</v>
      </c>
      <c r="C127" s="14">
        <v>0.3497</v>
      </c>
    </row>
    <row r="128">
      <c r="A128" s="14">
        <v>2010.0</v>
      </c>
      <c r="B128" s="15" t="s">
        <v>96</v>
      </c>
      <c r="C128" s="14">
        <v>4.29</v>
      </c>
    </row>
    <row r="129">
      <c r="A129" s="14">
        <v>2010.0</v>
      </c>
      <c r="B129" s="15" t="s">
        <v>43</v>
      </c>
      <c r="C129" s="14">
        <v>2.39</v>
      </c>
    </row>
    <row r="130">
      <c r="A130" s="14">
        <v>2010.0</v>
      </c>
      <c r="B130" s="15" t="s">
        <v>45</v>
      </c>
      <c r="C130" s="14">
        <v>210.0</v>
      </c>
    </row>
    <row r="131">
      <c r="A131" s="14">
        <v>2010.0</v>
      </c>
      <c r="B131" s="15" t="s">
        <v>78</v>
      </c>
      <c r="C131" s="14">
        <v>52.0</v>
      </c>
    </row>
    <row r="132">
      <c r="A132" s="14">
        <v>2010.0</v>
      </c>
      <c r="B132" s="15" t="s">
        <v>69</v>
      </c>
      <c r="C132" s="14">
        <v>0.37</v>
      </c>
    </row>
    <row r="133">
      <c r="A133" s="14">
        <v>2010.0</v>
      </c>
      <c r="B133" s="15" t="s">
        <v>126</v>
      </c>
      <c r="C133" s="14">
        <v>0.01262335</v>
      </c>
    </row>
    <row r="134">
      <c r="A134" s="14">
        <v>2010.0</v>
      </c>
      <c r="B134" s="15" t="s">
        <v>144</v>
      </c>
      <c r="C134" s="14">
        <v>15.4</v>
      </c>
    </row>
    <row r="135">
      <c r="A135" s="14">
        <v>2010.0</v>
      </c>
      <c r="B135" s="15" t="s">
        <v>82</v>
      </c>
      <c r="C135" s="14">
        <v>0.84</v>
      </c>
    </row>
    <row r="136">
      <c r="A136" s="14">
        <v>2010.0</v>
      </c>
      <c r="B136" s="15" t="s">
        <v>145</v>
      </c>
      <c r="C136" s="14">
        <v>5.75</v>
      </c>
    </row>
    <row r="137">
      <c r="A137" s="14">
        <v>2010.0</v>
      </c>
      <c r="B137" s="15" t="s">
        <v>88</v>
      </c>
      <c r="C137" s="14">
        <v>17.8</v>
      </c>
    </row>
    <row r="138">
      <c r="A138" s="14">
        <v>2010.0</v>
      </c>
      <c r="B138" s="15" t="s">
        <v>132</v>
      </c>
      <c r="C138" s="14">
        <v>2.3</v>
      </c>
    </row>
    <row r="139">
      <c r="A139" s="14">
        <v>2010.0</v>
      </c>
      <c r="B139" s="15" t="s">
        <v>90</v>
      </c>
      <c r="C139" s="14">
        <v>2.5115</v>
      </c>
    </row>
    <row r="140">
      <c r="A140" s="14">
        <v>2010.0</v>
      </c>
      <c r="B140" s="15" t="s">
        <v>93</v>
      </c>
      <c r="C140" s="14">
        <v>0.08</v>
      </c>
    </row>
    <row r="141">
      <c r="A141" s="14">
        <v>2010.0</v>
      </c>
      <c r="B141" s="15" t="s">
        <v>94</v>
      </c>
      <c r="C141" s="14">
        <v>0.45</v>
      </c>
    </row>
    <row r="142">
      <c r="A142" s="14">
        <v>2010.0</v>
      </c>
      <c r="B142" s="15" t="s">
        <v>143</v>
      </c>
      <c r="C142" s="14">
        <v>3.57</v>
      </c>
    </row>
    <row r="143">
      <c r="A143" s="14">
        <v>2010.0</v>
      </c>
      <c r="B143" s="15" t="s">
        <v>141</v>
      </c>
      <c r="C143" s="14">
        <v>0.45</v>
      </c>
    </row>
    <row r="144">
      <c r="A144" s="14">
        <v>2010.0</v>
      </c>
      <c r="B144" s="15" t="s">
        <v>142</v>
      </c>
      <c r="C144" s="14">
        <v>1.0488</v>
      </c>
    </row>
    <row r="145">
      <c r="A145" s="14">
        <v>2010.0</v>
      </c>
      <c r="B145" s="15" t="s">
        <v>136</v>
      </c>
      <c r="C145" s="14">
        <v>6.56</v>
      </c>
    </row>
    <row r="146">
      <c r="A146" s="14">
        <v>2010.0</v>
      </c>
      <c r="B146" s="15" t="s">
        <v>104</v>
      </c>
      <c r="C146" s="14">
        <v>250.39</v>
      </c>
    </row>
    <row r="147">
      <c r="A147" s="14">
        <v>2010.0</v>
      </c>
      <c r="B147" s="15" t="s">
        <v>9</v>
      </c>
      <c r="C147" s="14">
        <v>5.8E-4</v>
      </c>
    </row>
    <row r="148">
      <c r="A148" s="14">
        <v>2011.0</v>
      </c>
      <c r="B148" s="15" t="s">
        <v>39</v>
      </c>
      <c r="C148" s="14">
        <v>1.0851</v>
      </c>
    </row>
    <row r="149">
      <c r="A149" s="14">
        <v>2011.0</v>
      </c>
      <c r="B149" s="15" t="s">
        <v>96</v>
      </c>
      <c r="C149" s="14">
        <v>14.05</v>
      </c>
    </row>
    <row r="150">
      <c r="A150" s="14">
        <v>2011.0</v>
      </c>
      <c r="B150" s="15" t="s">
        <v>108</v>
      </c>
      <c r="C150" s="14">
        <v>0.002052365</v>
      </c>
    </row>
    <row r="151">
      <c r="A151" s="14">
        <v>2011.0</v>
      </c>
      <c r="B151" s="15" t="s">
        <v>43</v>
      </c>
      <c r="C151" s="14">
        <v>3.85</v>
      </c>
    </row>
    <row r="152">
      <c r="A152" s="14">
        <v>2011.0</v>
      </c>
      <c r="B152" s="15" t="s">
        <v>45</v>
      </c>
      <c r="C152" s="14">
        <v>180.0</v>
      </c>
    </row>
    <row r="153">
      <c r="A153" s="14">
        <v>2011.0</v>
      </c>
      <c r="B153" s="15" t="s">
        <v>106</v>
      </c>
      <c r="C153" s="14">
        <v>0.00860091</v>
      </c>
    </row>
    <row r="154">
      <c r="A154" s="14">
        <v>2011.0</v>
      </c>
      <c r="B154" s="15" t="s">
        <v>59</v>
      </c>
      <c r="C154" s="14">
        <v>0.001544</v>
      </c>
    </row>
    <row r="155">
      <c r="A155" s="14">
        <v>2011.0</v>
      </c>
      <c r="B155" s="15" t="s">
        <v>78</v>
      </c>
      <c r="C155" s="14">
        <v>59.0</v>
      </c>
    </row>
    <row r="156">
      <c r="A156" s="14">
        <v>2011.0</v>
      </c>
      <c r="B156" s="15" t="s">
        <v>69</v>
      </c>
      <c r="C156" s="14">
        <v>0.33</v>
      </c>
    </row>
    <row r="157">
      <c r="A157" s="14">
        <v>2011.0</v>
      </c>
      <c r="B157" s="15" t="s">
        <v>147</v>
      </c>
      <c r="C157" s="14">
        <v>11.24</v>
      </c>
    </row>
    <row r="158">
      <c r="A158" s="14">
        <v>2011.0</v>
      </c>
      <c r="B158" s="15" t="s">
        <v>126</v>
      </c>
      <c r="C158" s="14">
        <v>0.02</v>
      </c>
    </row>
    <row r="159">
      <c r="A159" s="14">
        <v>2011.0</v>
      </c>
      <c r="B159" s="15" t="s">
        <v>71</v>
      </c>
      <c r="C159" s="14">
        <v>8.73</v>
      </c>
    </row>
    <row r="160">
      <c r="A160" s="14">
        <v>2011.0</v>
      </c>
      <c r="B160" s="15" t="s">
        <v>74</v>
      </c>
      <c r="C160" s="14">
        <v>14.54</v>
      </c>
    </row>
    <row r="161">
      <c r="A161" s="14">
        <v>2011.0</v>
      </c>
      <c r="B161" s="15" t="s">
        <v>82</v>
      </c>
      <c r="C161" s="14">
        <v>2.6</v>
      </c>
    </row>
    <row r="162">
      <c r="A162" s="14">
        <v>2011.0</v>
      </c>
      <c r="B162" s="15" t="s">
        <v>130</v>
      </c>
      <c r="C162" s="14">
        <v>5.0</v>
      </c>
    </row>
    <row r="163">
      <c r="A163" s="14">
        <v>2011.0</v>
      </c>
      <c r="B163" s="15" t="s">
        <v>146</v>
      </c>
      <c r="C163" s="14">
        <v>5.0</v>
      </c>
    </row>
    <row r="164">
      <c r="A164" s="14">
        <v>2011.0</v>
      </c>
      <c r="B164" s="15" t="s">
        <v>132</v>
      </c>
      <c r="C164" s="14">
        <v>2.76</v>
      </c>
    </row>
    <row r="165">
      <c r="A165" s="14">
        <v>2011.0</v>
      </c>
      <c r="B165" s="15" t="s">
        <v>93</v>
      </c>
      <c r="C165" s="14">
        <v>0.92</v>
      </c>
    </row>
    <row r="166">
      <c r="A166" s="14">
        <v>2011.0</v>
      </c>
      <c r="B166" s="15" t="s">
        <v>94</v>
      </c>
      <c r="C166" s="14">
        <v>1.15</v>
      </c>
    </row>
    <row r="167">
      <c r="A167" s="14">
        <v>2011.0</v>
      </c>
      <c r="B167" s="15" t="s">
        <v>143</v>
      </c>
      <c r="C167" s="14">
        <v>4.44</v>
      </c>
    </row>
    <row r="168">
      <c r="A168" s="14">
        <v>2011.0</v>
      </c>
      <c r="B168" s="15" t="s">
        <v>141</v>
      </c>
      <c r="C168" s="14">
        <v>0.5</v>
      </c>
    </row>
    <row r="169">
      <c r="A169" s="14">
        <v>2011.0</v>
      </c>
      <c r="B169" s="15" t="s">
        <v>142</v>
      </c>
      <c r="C169" s="14">
        <v>1.18</v>
      </c>
    </row>
    <row r="170">
      <c r="A170" s="14">
        <v>2011.0</v>
      </c>
      <c r="B170" s="15" t="s">
        <v>136</v>
      </c>
      <c r="C170" s="14">
        <v>5.02</v>
      </c>
    </row>
    <row r="171">
      <c r="A171" s="14">
        <v>2011.0</v>
      </c>
      <c r="B171" s="15" t="s">
        <v>104</v>
      </c>
      <c r="C171" s="14">
        <v>314.73</v>
      </c>
    </row>
    <row r="172">
      <c r="A172" s="14">
        <v>2011.0</v>
      </c>
      <c r="B172" s="15" t="s">
        <v>9</v>
      </c>
      <c r="C172" s="14">
        <v>5.8E-4</v>
      </c>
    </row>
    <row r="173">
      <c r="A173" s="14">
        <v>2012.0</v>
      </c>
      <c r="B173" s="15" t="s">
        <v>37</v>
      </c>
      <c r="C173" s="14">
        <v>0.28</v>
      </c>
    </row>
    <row r="174">
      <c r="A174" s="14">
        <v>2012.0</v>
      </c>
      <c r="B174" s="15" t="s">
        <v>39</v>
      </c>
      <c r="C174" s="14">
        <v>1.8081</v>
      </c>
    </row>
    <row r="175">
      <c r="A175" s="14">
        <v>2012.0</v>
      </c>
      <c r="B175" s="15" t="s">
        <v>148</v>
      </c>
      <c r="C175" s="14">
        <v>46.0</v>
      </c>
    </row>
    <row r="176">
      <c r="A176" s="14">
        <v>2012.0</v>
      </c>
      <c r="B176" s="15" t="s">
        <v>149</v>
      </c>
      <c r="C176" s="14">
        <v>99.0</v>
      </c>
    </row>
    <row r="177">
      <c r="A177" s="14">
        <v>2012.0</v>
      </c>
      <c r="B177" s="15" t="s">
        <v>150</v>
      </c>
      <c r="C177" s="14">
        <v>99.0</v>
      </c>
    </row>
    <row r="178">
      <c r="A178" s="14">
        <v>2012.0</v>
      </c>
      <c r="B178" s="15" t="s">
        <v>96</v>
      </c>
      <c r="C178" s="14">
        <v>12.33</v>
      </c>
    </row>
    <row r="179">
      <c r="A179" s="14">
        <v>2012.0</v>
      </c>
      <c r="B179" s="15" t="s">
        <v>43</v>
      </c>
      <c r="C179" s="14">
        <v>8.97</v>
      </c>
    </row>
    <row r="180">
      <c r="A180" s="14">
        <v>2012.0</v>
      </c>
      <c r="B180" s="15" t="s">
        <v>45</v>
      </c>
      <c r="C180" s="14">
        <v>196.0</v>
      </c>
    </row>
    <row r="181">
      <c r="A181" s="14">
        <v>2012.0</v>
      </c>
      <c r="B181" s="15" t="s">
        <v>106</v>
      </c>
      <c r="C181" s="14">
        <v>0.00789317</v>
      </c>
    </row>
    <row r="182">
      <c r="A182" s="14">
        <v>2012.0</v>
      </c>
      <c r="B182" s="15" t="s">
        <v>78</v>
      </c>
      <c r="C182" s="14">
        <v>115.0</v>
      </c>
    </row>
    <row r="183">
      <c r="A183" s="14">
        <v>2012.0</v>
      </c>
      <c r="B183" s="15" t="s">
        <v>49</v>
      </c>
      <c r="C183" s="14">
        <v>20.0</v>
      </c>
    </row>
    <row r="184">
      <c r="A184" s="14">
        <v>2012.0</v>
      </c>
      <c r="B184" s="15" t="s">
        <v>69</v>
      </c>
      <c r="C184" s="14">
        <v>0.28</v>
      </c>
    </row>
    <row r="185">
      <c r="A185" s="14">
        <v>2012.0</v>
      </c>
      <c r="B185" s="15" t="s">
        <v>147</v>
      </c>
      <c r="C185" s="14">
        <v>44.59</v>
      </c>
    </row>
    <row r="186">
      <c r="A186" s="14">
        <v>2012.0</v>
      </c>
      <c r="B186" s="15" t="s">
        <v>126</v>
      </c>
      <c r="C186" s="14">
        <v>0.03</v>
      </c>
    </row>
    <row r="187">
      <c r="A187" s="14">
        <v>2012.0</v>
      </c>
      <c r="B187" s="15" t="s">
        <v>151</v>
      </c>
      <c r="C187" s="14">
        <v>0.025</v>
      </c>
    </row>
    <row r="188">
      <c r="A188" s="14">
        <v>2012.0</v>
      </c>
      <c r="B188" s="15" t="s">
        <v>152</v>
      </c>
      <c r="C188" s="14">
        <v>7.1</v>
      </c>
    </row>
    <row r="189">
      <c r="A189" s="14">
        <v>2012.0</v>
      </c>
      <c r="B189" s="15" t="s">
        <v>71</v>
      </c>
      <c r="C189" s="14">
        <v>8.06</v>
      </c>
    </row>
    <row r="190">
      <c r="A190" s="14">
        <v>2012.0</v>
      </c>
      <c r="B190" s="15" t="s">
        <v>72</v>
      </c>
      <c r="C190" s="14">
        <v>31.28</v>
      </c>
    </row>
    <row r="191">
      <c r="A191" s="14">
        <v>2012.0</v>
      </c>
      <c r="B191" s="15" t="s">
        <v>74</v>
      </c>
      <c r="C191" s="14">
        <v>14.71</v>
      </c>
    </row>
    <row r="192">
      <c r="A192" s="14">
        <v>2012.0</v>
      </c>
      <c r="B192" s="15" t="s">
        <v>65</v>
      </c>
      <c r="C192" s="14">
        <v>35.8</v>
      </c>
    </row>
    <row r="193">
      <c r="A193" s="14">
        <v>2012.0</v>
      </c>
      <c r="B193" s="15" t="s">
        <v>82</v>
      </c>
      <c r="C193" s="14">
        <v>0.6</v>
      </c>
    </row>
    <row r="194">
      <c r="A194" s="14">
        <v>2012.0</v>
      </c>
      <c r="B194" s="15" t="s">
        <v>153</v>
      </c>
      <c r="C194" s="14">
        <v>0.0235</v>
      </c>
    </row>
    <row r="195">
      <c r="A195" s="14">
        <v>2012.0</v>
      </c>
      <c r="B195" s="15" t="s">
        <v>130</v>
      </c>
      <c r="C195" s="14">
        <v>6.5</v>
      </c>
    </row>
    <row r="196">
      <c r="A196" s="14">
        <v>2012.0</v>
      </c>
      <c r="B196" s="15" t="s">
        <v>154</v>
      </c>
      <c r="C196" s="14">
        <v>9.98761E-4</v>
      </c>
    </row>
    <row r="197">
      <c r="A197" s="14">
        <v>2012.0</v>
      </c>
      <c r="B197" s="15" t="s">
        <v>112</v>
      </c>
      <c r="C197" s="14">
        <v>95.5</v>
      </c>
    </row>
    <row r="198">
      <c r="A198" s="14">
        <v>2012.0</v>
      </c>
      <c r="B198" s="15" t="s">
        <v>132</v>
      </c>
      <c r="C198" s="14">
        <v>7.53</v>
      </c>
    </row>
    <row r="199">
      <c r="A199" s="14">
        <v>2012.0</v>
      </c>
      <c r="B199" s="15" t="s">
        <v>90</v>
      </c>
      <c r="C199" s="14">
        <v>4.6959</v>
      </c>
    </row>
    <row r="200">
      <c r="A200" s="14">
        <v>2012.0</v>
      </c>
      <c r="B200" s="15" t="s">
        <v>91</v>
      </c>
      <c r="C200" s="14">
        <v>4.6959</v>
      </c>
    </row>
    <row r="201">
      <c r="A201" s="14">
        <v>2012.0</v>
      </c>
      <c r="B201" s="15" t="s">
        <v>93</v>
      </c>
      <c r="C201" s="14">
        <v>2.08</v>
      </c>
    </row>
    <row r="202">
      <c r="A202" s="14">
        <v>2012.0</v>
      </c>
      <c r="B202" s="15" t="s">
        <v>94</v>
      </c>
      <c r="C202" s="14">
        <v>2.59</v>
      </c>
    </row>
    <row r="203">
      <c r="A203" s="14">
        <v>2012.0</v>
      </c>
      <c r="B203" s="15" t="s">
        <v>141</v>
      </c>
      <c r="C203" s="14">
        <v>0.6</v>
      </c>
    </row>
    <row r="204">
      <c r="A204" s="14">
        <v>2012.0</v>
      </c>
      <c r="B204" s="15" t="s">
        <v>142</v>
      </c>
      <c r="C204" s="14">
        <v>2.15</v>
      </c>
    </row>
    <row r="205">
      <c r="A205" s="14">
        <v>2012.0</v>
      </c>
      <c r="B205" s="15" t="s">
        <v>136</v>
      </c>
      <c r="C205" s="14">
        <v>7.08</v>
      </c>
    </row>
    <row r="206">
      <c r="A206" s="14">
        <v>2012.0</v>
      </c>
      <c r="B206" s="15" t="s">
        <v>137</v>
      </c>
      <c r="C206" s="14">
        <v>7.08</v>
      </c>
    </row>
    <row r="207">
      <c r="A207" s="14">
        <v>2012.0</v>
      </c>
      <c r="B207" s="15" t="s">
        <v>104</v>
      </c>
      <c r="C207" s="14">
        <v>716.58</v>
      </c>
    </row>
    <row r="208">
      <c r="A208" s="14">
        <v>2012.0</v>
      </c>
      <c r="B208" s="15" t="s">
        <v>155</v>
      </c>
      <c r="C208" s="14">
        <v>26.52</v>
      </c>
    </row>
    <row r="209">
      <c r="A209" s="14">
        <v>2012.0</v>
      </c>
      <c r="B209" s="15" t="s">
        <v>9</v>
      </c>
      <c r="C209" s="14">
        <v>8.8E-4</v>
      </c>
    </row>
    <row r="210">
      <c r="A210" s="14">
        <v>2013.0</v>
      </c>
      <c r="B210" s="15" t="s">
        <v>37</v>
      </c>
      <c r="C210" s="14">
        <v>0.96</v>
      </c>
    </row>
    <row r="211">
      <c r="A211" s="14">
        <v>2013.0</v>
      </c>
      <c r="B211" s="15" t="s">
        <v>39</v>
      </c>
      <c r="C211" s="14">
        <v>1.1636</v>
      </c>
    </row>
    <row r="212">
      <c r="A212" s="14">
        <v>2013.0</v>
      </c>
      <c r="B212" s="15" t="s">
        <v>7</v>
      </c>
      <c r="C212" s="14">
        <v>1.11</v>
      </c>
    </row>
    <row r="213">
      <c r="A213" s="14">
        <v>2013.0</v>
      </c>
      <c r="B213" s="15" t="s">
        <v>149</v>
      </c>
      <c r="C213" s="14">
        <v>223.0</v>
      </c>
    </row>
    <row r="214">
      <c r="A214" s="14">
        <v>2013.0</v>
      </c>
      <c r="B214" s="15" t="s">
        <v>150</v>
      </c>
      <c r="C214" s="14">
        <v>223.0</v>
      </c>
    </row>
    <row r="215">
      <c r="A215" s="14">
        <v>2013.0</v>
      </c>
      <c r="B215" s="15" t="s">
        <v>33</v>
      </c>
      <c r="C215" s="14">
        <v>0.11</v>
      </c>
    </row>
    <row r="216">
      <c r="A216" s="14">
        <v>2013.0</v>
      </c>
      <c r="B216" s="15" t="s">
        <v>96</v>
      </c>
      <c r="C216" s="14">
        <v>6.36</v>
      </c>
    </row>
    <row r="217">
      <c r="A217" s="14">
        <v>2013.0</v>
      </c>
      <c r="B217" s="15" t="s">
        <v>43</v>
      </c>
      <c r="C217" s="14">
        <v>5.99</v>
      </c>
    </row>
    <row r="218">
      <c r="A218" s="14">
        <v>2013.0</v>
      </c>
      <c r="B218" s="15" t="s">
        <v>45</v>
      </c>
      <c r="C218" s="14">
        <v>621.53</v>
      </c>
    </row>
    <row r="219">
      <c r="A219" s="14">
        <v>2013.0</v>
      </c>
      <c r="B219" s="15" t="s">
        <v>106</v>
      </c>
      <c r="C219" s="14">
        <v>0.00955606</v>
      </c>
    </row>
    <row r="220">
      <c r="A220" s="14">
        <v>2013.0</v>
      </c>
      <c r="B220" s="15" t="s">
        <v>156</v>
      </c>
      <c r="C220" s="14">
        <v>0.69</v>
      </c>
    </row>
    <row r="221">
      <c r="A221" s="14">
        <v>2013.0</v>
      </c>
      <c r="B221" s="15" t="s">
        <v>78</v>
      </c>
      <c r="C221" s="14">
        <v>100.0</v>
      </c>
    </row>
    <row r="222">
      <c r="A222" s="14">
        <v>2013.0</v>
      </c>
      <c r="B222" s="15" t="s">
        <v>49</v>
      </c>
      <c r="C222" s="14">
        <v>20.0</v>
      </c>
    </row>
    <row r="223">
      <c r="A223" s="14">
        <v>2013.0</v>
      </c>
      <c r="B223" s="15" t="s">
        <v>147</v>
      </c>
      <c r="C223" s="14">
        <v>101.08</v>
      </c>
    </row>
    <row r="224">
      <c r="A224" s="14">
        <v>2013.0</v>
      </c>
      <c r="B224" s="15" t="s">
        <v>76</v>
      </c>
      <c r="C224" s="14">
        <v>1.22</v>
      </c>
    </row>
    <row r="225">
      <c r="A225" s="14">
        <v>2013.0</v>
      </c>
      <c r="B225" s="15" t="s">
        <v>151</v>
      </c>
      <c r="C225" s="14">
        <v>0.088201</v>
      </c>
    </row>
    <row r="226">
      <c r="A226" s="14">
        <v>2013.0</v>
      </c>
      <c r="B226" s="15" t="s">
        <v>152</v>
      </c>
      <c r="C226" s="14">
        <v>7.8</v>
      </c>
    </row>
    <row r="227">
      <c r="A227" s="14">
        <v>2013.0</v>
      </c>
      <c r="B227" s="15" t="s">
        <v>72</v>
      </c>
      <c r="C227" s="14">
        <v>0.05</v>
      </c>
    </row>
    <row r="228">
      <c r="A228" s="14">
        <v>2013.0</v>
      </c>
      <c r="B228" s="15" t="s">
        <v>74</v>
      </c>
      <c r="C228" s="14">
        <v>19.82</v>
      </c>
    </row>
    <row r="229">
      <c r="A229" s="14">
        <v>2013.0</v>
      </c>
      <c r="B229" s="15" t="s">
        <v>65</v>
      </c>
      <c r="C229" s="14">
        <v>13.8</v>
      </c>
    </row>
    <row r="230">
      <c r="A230" s="14">
        <v>2013.0</v>
      </c>
      <c r="B230" s="15" t="s">
        <v>82</v>
      </c>
      <c r="C230" s="14">
        <v>0.62</v>
      </c>
    </row>
    <row r="231">
      <c r="A231" s="14">
        <v>2013.0</v>
      </c>
      <c r="B231" s="15" t="s">
        <v>153</v>
      </c>
      <c r="C231" s="14">
        <v>0.02362</v>
      </c>
    </row>
    <row r="232">
      <c r="A232" s="14">
        <v>2013.0</v>
      </c>
      <c r="B232" s="15" t="s">
        <v>130</v>
      </c>
      <c r="C232" s="14">
        <v>7.26</v>
      </c>
    </row>
    <row r="233">
      <c r="A233" s="14">
        <v>2013.0</v>
      </c>
      <c r="B233" s="15" t="s">
        <v>112</v>
      </c>
      <c r="C233" s="14">
        <v>35.35</v>
      </c>
    </row>
    <row r="234">
      <c r="A234" s="14">
        <v>2013.0</v>
      </c>
      <c r="B234" s="15" t="s">
        <v>157</v>
      </c>
      <c r="C234" s="14">
        <v>0.3318</v>
      </c>
    </row>
    <row r="235">
      <c r="A235" s="14">
        <v>2013.0</v>
      </c>
      <c r="B235" s="15" t="s">
        <v>132</v>
      </c>
      <c r="C235" s="14">
        <v>8.05</v>
      </c>
    </row>
    <row r="236">
      <c r="A236" s="14">
        <v>2013.0</v>
      </c>
      <c r="B236" s="15" t="s">
        <v>90</v>
      </c>
      <c r="C236" s="14">
        <v>2.4369</v>
      </c>
    </row>
    <row r="237">
      <c r="A237" s="14">
        <v>2013.0</v>
      </c>
      <c r="B237" s="15" t="s">
        <v>91</v>
      </c>
      <c r="C237" s="14">
        <v>4.1022</v>
      </c>
    </row>
    <row r="238">
      <c r="A238" s="14">
        <v>2013.0</v>
      </c>
      <c r="B238" s="15" t="s">
        <v>93</v>
      </c>
      <c r="C238" s="14">
        <v>2.57</v>
      </c>
    </row>
    <row r="239">
      <c r="A239" s="14">
        <v>2013.0</v>
      </c>
      <c r="B239" s="15" t="s">
        <v>94</v>
      </c>
      <c r="C239" s="14">
        <v>3.2</v>
      </c>
    </row>
    <row r="240">
      <c r="A240" s="14">
        <v>2013.0</v>
      </c>
      <c r="B240" s="15" t="s">
        <v>141</v>
      </c>
      <c r="C240" s="14">
        <v>0.5</v>
      </c>
    </row>
    <row r="241">
      <c r="A241" s="14">
        <v>2013.0</v>
      </c>
      <c r="B241" s="15" t="s">
        <v>142</v>
      </c>
      <c r="C241" s="14">
        <v>1.48</v>
      </c>
    </row>
    <row r="242">
      <c r="A242" s="14">
        <v>2013.0</v>
      </c>
      <c r="B242" s="15" t="s">
        <v>158</v>
      </c>
      <c r="C242" s="14">
        <v>52.52</v>
      </c>
    </row>
    <row r="243">
      <c r="A243" s="14">
        <v>2013.0</v>
      </c>
      <c r="B243" s="15" t="s">
        <v>136</v>
      </c>
      <c r="C243" s="14">
        <v>8.6</v>
      </c>
    </row>
    <row r="244">
      <c r="A244" s="14">
        <v>2013.0</v>
      </c>
      <c r="B244" s="15" t="s">
        <v>137</v>
      </c>
      <c r="C244" s="14">
        <v>8.6</v>
      </c>
    </row>
    <row r="245">
      <c r="A245" s="14">
        <v>2013.0</v>
      </c>
      <c r="B245" s="15" t="s">
        <v>159</v>
      </c>
      <c r="C245" s="14">
        <v>1.88</v>
      </c>
    </row>
    <row r="246">
      <c r="A246" s="14">
        <v>2013.0</v>
      </c>
      <c r="B246" s="15" t="s">
        <v>104</v>
      </c>
      <c r="C246" s="14">
        <v>685.1</v>
      </c>
    </row>
    <row r="247">
      <c r="A247" s="14">
        <v>2013.0</v>
      </c>
      <c r="B247" s="15" t="s">
        <v>160</v>
      </c>
      <c r="C247" s="14">
        <v>2.21</v>
      </c>
    </row>
    <row r="248">
      <c r="A248" s="14">
        <v>2013.0</v>
      </c>
      <c r="B248" s="15" t="s">
        <v>155</v>
      </c>
      <c r="C248" s="14">
        <v>279.83</v>
      </c>
    </row>
    <row r="249">
      <c r="A249" s="14">
        <v>2013.0</v>
      </c>
      <c r="B249" s="15" t="s">
        <v>9</v>
      </c>
      <c r="C249" s="14">
        <v>0.00143</v>
      </c>
    </row>
    <row r="250">
      <c r="A250" s="14">
        <v>2014.0</v>
      </c>
      <c r="B250" s="15" t="s">
        <v>37</v>
      </c>
      <c r="C250" s="14">
        <v>2.06</v>
      </c>
    </row>
    <row r="251">
      <c r="A251" s="14">
        <v>2014.0</v>
      </c>
      <c r="B251" s="15" t="s">
        <v>39</v>
      </c>
      <c r="C251" s="14">
        <v>2.3894</v>
      </c>
    </row>
    <row r="252">
      <c r="A252" s="14">
        <v>2014.0</v>
      </c>
      <c r="B252" s="15" t="s">
        <v>148</v>
      </c>
      <c r="C252" s="14">
        <v>152.0</v>
      </c>
    </row>
    <row r="253">
      <c r="A253" s="14">
        <v>2014.0</v>
      </c>
      <c r="B253" s="15" t="s">
        <v>7</v>
      </c>
      <c r="C253" s="14">
        <v>1.47</v>
      </c>
    </row>
    <row r="254">
      <c r="A254" s="14">
        <v>2014.0</v>
      </c>
      <c r="B254" s="15" t="s">
        <v>149</v>
      </c>
      <c r="C254" s="14">
        <v>211.0</v>
      </c>
    </row>
    <row r="255">
      <c r="A255" s="14">
        <v>2014.0</v>
      </c>
      <c r="B255" s="15" t="s">
        <v>150</v>
      </c>
      <c r="C255" s="14">
        <v>211.0</v>
      </c>
    </row>
    <row r="256">
      <c r="A256" s="14">
        <v>2014.0</v>
      </c>
      <c r="B256" s="15" t="s">
        <v>33</v>
      </c>
      <c r="C256" s="14">
        <v>0.11</v>
      </c>
    </row>
    <row r="257">
      <c r="A257" s="14">
        <v>2014.0</v>
      </c>
      <c r="B257" s="15" t="s">
        <v>96</v>
      </c>
      <c r="C257" s="14">
        <v>62.86</v>
      </c>
    </row>
    <row r="258">
      <c r="A258" s="14">
        <v>2014.0</v>
      </c>
      <c r="B258" s="15" t="s">
        <v>108</v>
      </c>
      <c r="C258" s="14">
        <v>3.42681E-4</v>
      </c>
    </row>
    <row r="259">
      <c r="A259" s="14">
        <v>2014.0</v>
      </c>
      <c r="B259" s="15" t="s">
        <v>43</v>
      </c>
      <c r="C259" s="14">
        <v>7.2</v>
      </c>
    </row>
    <row r="260">
      <c r="A260" s="14">
        <v>2014.0</v>
      </c>
      <c r="B260" s="15" t="s">
        <v>161</v>
      </c>
      <c r="C260" s="14">
        <v>34.44</v>
      </c>
    </row>
    <row r="261">
      <c r="A261" s="14">
        <v>2014.0</v>
      </c>
      <c r="B261" s="15" t="s">
        <v>45</v>
      </c>
      <c r="C261" s="14">
        <v>1010.82</v>
      </c>
    </row>
    <row r="262">
      <c r="A262" s="14">
        <v>2014.0</v>
      </c>
      <c r="B262" s="15" t="s">
        <v>106</v>
      </c>
      <c r="C262" s="14">
        <v>0.01358751</v>
      </c>
    </row>
    <row r="263">
      <c r="A263" s="14">
        <v>2014.0</v>
      </c>
      <c r="B263" s="15" t="s">
        <v>78</v>
      </c>
      <c r="C263" s="14">
        <v>120.0</v>
      </c>
    </row>
    <row r="264">
      <c r="A264" s="14">
        <v>2014.0</v>
      </c>
      <c r="B264" s="15" t="s">
        <v>49</v>
      </c>
      <c r="C264" s="14">
        <v>40.0</v>
      </c>
    </row>
    <row r="265">
      <c r="A265" s="14">
        <v>2014.0</v>
      </c>
      <c r="B265" s="15" t="s">
        <v>69</v>
      </c>
      <c r="C265" s="14">
        <v>0.58</v>
      </c>
    </row>
    <row r="266">
      <c r="A266" s="14">
        <v>2014.0</v>
      </c>
      <c r="B266" s="15" t="s">
        <v>162</v>
      </c>
      <c r="C266" s="14">
        <v>64.51</v>
      </c>
    </row>
    <row r="267">
      <c r="A267" s="14">
        <v>2014.0</v>
      </c>
      <c r="B267" s="15" t="s">
        <v>147</v>
      </c>
      <c r="C267" s="14">
        <v>319.52</v>
      </c>
    </row>
    <row r="268">
      <c r="A268" s="14">
        <v>2014.0</v>
      </c>
      <c r="B268" s="15" t="s">
        <v>76</v>
      </c>
      <c r="C268" s="14">
        <v>2.38</v>
      </c>
    </row>
    <row r="269">
      <c r="A269" s="14">
        <v>2014.0</v>
      </c>
      <c r="B269" s="15" t="s">
        <v>152</v>
      </c>
      <c r="C269" s="14">
        <v>7.09</v>
      </c>
    </row>
    <row r="270">
      <c r="A270" s="14">
        <v>2014.0</v>
      </c>
      <c r="B270" s="15" t="s">
        <v>74</v>
      </c>
      <c r="C270" s="14">
        <v>24.8</v>
      </c>
    </row>
    <row r="271">
      <c r="A271" s="14">
        <v>2014.0</v>
      </c>
      <c r="B271" s="15" t="s">
        <v>65</v>
      </c>
      <c r="C271" s="14">
        <v>45.0</v>
      </c>
    </row>
    <row r="272">
      <c r="A272" s="14">
        <v>2014.0</v>
      </c>
      <c r="B272" s="15" t="s">
        <v>82</v>
      </c>
      <c r="C272" s="14">
        <v>1.55</v>
      </c>
    </row>
    <row r="273">
      <c r="A273" s="14">
        <v>2014.0</v>
      </c>
      <c r="B273" s="15" t="s">
        <v>153</v>
      </c>
      <c r="C273" s="14">
        <v>0.023364</v>
      </c>
    </row>
    <row r="274">
      <c r="A274" s="14">
        <v>2014.0</v>
      </c>
      <c r="B274" s="15" t="s">
        <v>130</v>
      </c>
      <c r="C274" s="14">
        <v>9.59</v>
      </c>
    </row>
    <row r="275">
      <c r="A275" s="14">
        <v>2014.0</v>
      </c>
      <c r="B275" s="15" t="s">
        <v>112</v>
      </c>
      <c r="C275" s="14">
        <v>44.3</v>
      </c>
    </row>
    <row r="276">
      <c r="A276" s="14">
        <v>2014.0</v>
      </c>
      <c r="B276" s="15" t="s">
        <v>86</v>
      </c>
      <c r="C276" s="14">
        <v>4.16</v>
      </c>
    </row>
    <row r="277">
      <c r="A277" s="14">
        <v>2014.0</v>
      </c>
      <c r="B277" s="15" t="s">
        <v>157</v>
      </c>
      <c r="C277" s="14">
        <v>16.57</v>
      </c>
    </row>
    <row r="278">
      <c r="A278" s="14">
        <v>2014.0</v>
      </c>
      <c r="B278" s="15" t="s">
        <v>132</v>
      </c>
      <c r="C278" s="14">
        <v>12.85</v>
      </c>
    </row>
    <row r="279">
      <c r="A279" s="14">
        <v>2014.0</v>
      </c>
      <c r="B279" s="15" t="s">
        <v>90</v>
      </c>
      <c r="C279" s="14">
        <v>3.12</v>
      </c>
    </row>
    <row r="280">
      <c r="A280" s="14">
        <v>2014.0</v>
      </c>
      <c r="B280" s="15" t="s">
        <v>91</v>
      </c>
      <c r="C280" s="14">
        <v>4.85</v>
      </c>
    </row>
    <row r="281">
      <c r="A281" s="14">
        <v>2014.0</v>
      </c>
      <c r="B281" s="15" t="s">
        <v>93</v>
      </c>
      <c r="C281" s="14">
        <v>3.2</v>
      </c>
    </row>
    <row r="282">
      <c r="A282" s="14">
        <v>2014.0</v>
      </c>
      <c r="B282" s="15" t="s">
        <v>94</v>
      </c>
      <c r="C282" s="14">
        <v>3.2</v>
      </c>
    </row>
    <row r="283">
      <c r="A283" s="14">
        <v>2014.0</v>
      </c>
      <c r="B283" s="15" t="s">
        <v>141</v>
      </c>
      <c r="C283" s="14">
        <v>0.6</v>
      </c>
    </row>
    <row r="284">
      <c r="A284" s="14">
        <v>2014.0</v>
      </c>
      <c r="B284" s="15" t="s">
        <v>142</v>
      </c>
      <c r="C284" s="14">
        <v>2.36</v>
      </c>
    </row>
    <row r="285">
      <c r="A285" s="14">
        <v>2014.0</v>
      </c>
      <c r="B285" s="15" t="s">
        <v>158</v>
      </c>
      <c r="C285" s="14">
        <v>52.52</v>
      </c>
    </row>
    <row r="286">
      <c r="A286" s="14">
        <v>2014.0</v>
      </c>
      <c r="B286" s="15" t="s">
        <v>136</v>
      </c>
      <c r="C286" s="14">
        <v>8.23</v>
      </c>
    </row>
    <row r="287">
      <c r="A287" s="14">
        <v>2014.0</v>
      </c>
      <c r="B287" s="15" t="s">
        <v>137</v>
      </c>
      <c r="C287" s="14">
        <v>8.23</v>
      </c>
    </row>
    <row r="288">
      <c r="A288" s="14">
        <v>2014.0</v>
      </c>
      <c r="B288" s="15" t="s">
        <v>159</v>
      </c>
      <c r="C288" s="14">
        <v>0.78</v>
      </c>
    </row>
    <row r="289">
      <c r="A289" s="14">
        <v>2014.0</v>
      </c>
      <c r="B289" s="15" t="s">
        <v>104</v>
      </c>
      <c r="C289" s="14">
        <v>724.21</v>
      </c>
    </row>
    <row r="290">
      <c r="A290" s="14">
        <v>2014.0</v>
      </c>
      <c r="B290" s="15" t="s">
        <v>160</v>
      </c>
      <c r="C290" s="14">
        <v>1.63</v>
      </c>
    </row>
    <row r="291">
      <c r="A291" s="14">
        <v>2014.0</v>
      </c>
      <c r="B291" s="15" t="s">
        <v>155</v>
      </c>
      <c r="C291" s="14">
        <v>533.91</v>
      </c>
    </row>
    <row r="292">
      <c r="A292" s="14">
        <v>2014.0</v>
      </c>
      <c r="B292" s="15" t="s">
        <v>9</v>
      </c>
      <c r="C292" s="14">
        <v>0.00116</v>
      </c>
    </row>
    <row r="293">
      <c r="A293" s="14">
        <v>2015.0</v>
      </c>
      <c r="B293" s="15" t="s">
        <v>37</v>
      </c>
      <c r="C293" s="14">
        <v>0.47</v>
      </c>
    </row>
    <row r="294">
      <c r="A294" s="14">
        <v>2015.0</v>
      </c>
      <c r="B294" s="15" t="s">
        <v>163</v>
      </c>
      <c r="C294" s="14">
        <v>15.29</v>
      </c>
    </row>
    <row r="295">
      <c r="A295" s="14">
        <v>2015.0</v>
      </c>
      <c r="B295" s="15" t="s">
        <v>148</v>
      </c>
      <c r="C295" s="14">
        <v>139.0</v>
      </c>
    </row>
    <row r="296">
      <c r="A296" s="14">
        <v>2015.0</v>
      </c>
      <c r="B296" s="15" t="s">
        <v>7</v>
      </c>
      <c r="C296" s="14">
        <v>1.47</v>
      </c>
    </row>
    <row r="297">
      <c r="A297" s="14">
        <v>2015.0</v>
      </c>
      <c r="B297" s="15" t="s">
        <v>149</v>
      </c>
      <c r="C297" s="14">
        <v>113.0</v>
      </c>
    </row>
    <row r="298">
      <c r="A298" s="14">
        <v>2015.0</v>
      </c>
      <c r="B298" s="15" t="s">
        <v>150</v>
      </c>
      <c r="C298" s="14">
        <v>113.0</v>
      </c>
    </row>
    <row r="299">
      <c r="A299" s="14">
        <v>2015.0</v>
      </c>
      <c r="B299" s="15" t="s">
        <v>96</v>
      </c>
      <c r="C299" s="14">
        <v>53.26</v>
      </c>
    </row>
    <row r="300">
      <c r="A300" s="14">
        <v>2015.0</v>
      </c>
      <c r="B300" s="15" t="s">
        <v>108</v>
      </c>
      <c r="C300" s="14">
        <v>6.64788E-4</v>
      </c>
    </row>
    <row r="301">
      <c r="A301" s="14">
        <v>2015.0</v>
      </c>
      <c r="B301" s="15" t="s">
        <v>43</v>
      </c>
      <c r="C301" s="14">
        <v>7.2</v>
      </c>
    </row>
    <row r="302">
      <c r="A302" s="14">
        <v>2015.0</v>
      </c>
      <c r="B302" s="15" t="s">
        <v>161</v>
      </c>
      <c r="C302" s="14">
        <v>77.35</v>
      </c>
    </row>
    <row r="303">
      <c r="A303" s="14">
        <v>2015.0</v>
      </c>
      <c r="B303" s="15" t="s">
        <v>45</v>
      </c>
      <c r="C303" s="14">
        <v>1297.06</v>
      </c>
    </row>
    <row r="304">
      <c r="A304" s="14">
        <v>2015.0</v>
      </c>
      <c r="B304" s="15" t="s">
        <v>106</v>
      </c>
      <c r="C304" s="14">
        <v>0.01561855</v>
      </c>
    </row>
    <row r="305">
      <c r="A305" s="14">
        <v>2015.0</v>
      </c>
      <c r="B305" s="15" t="s">
        <v>59</v>
      </c>
      <c r="C305" s="14">
        <v>0.001039679</v>
      </c>
    </row>
    <row r="306">
      <c r="A306" s="14">
        <v>2015.0</v>
      </c>
      <c r="B306" s="15" t="s">
        <v>78</v>
      </c>
      <c r="C306" s="14">
        <v>159.0</v>
      </c>
    </row>
    <row r="307">
      <c r="A307" s="14">
        <v>2015.0</v>
      </c>
      <c r="B307" s="15" t="s">
        <v>49</v>
      </c>
      <c r="C307" s="14">
        <v>78.0</v>
      </c>
    </row>
    <row r="308">
      <c r="A308" s="14">
        <v>2015.0</v>
      </c>
      <c r="B308" s="15" t="s">
        <v>69</v>
      </c>
      <c r="C308" s="14">
        <v>0.58</v>
      </c>
    </row>
    <row r="309">
      <c r="A309" s="14">
        <v>2015.0</v>
      </c>
      <c r="B309" s="15" t="s">
        <v>162</v>
      </c>
      <c r="C309" s="14">
        <v>80.64</v>
      </c>
    </row>
    <row r="310">
      <c r="A310" s="14">
        <v>2015.0</v>
      </c>
      <c r="B310" s="15" t="s">
        <v>147</v>
      </c>
      <c r="C310" s="14">
        <v>220.97</v>
      </c>
    </row>
    <row r="311">
      <c r="A311" s="14">
        <v>2015.0</v>
      </c>
      <c r="B311" s="15" t="s">
        <v>76</v>
      </c>
      <c r="C311" s="14">
        <v>3.87</v>
      </c>
    </row>
    <row r="312">
      <c r="A312" s="14">
        <v>2015.0</v>
      </c>
      <c r="B312" s="15" t="s">
        <v>74</v>
      </c>
      <c r="C312" s="14">
        <v>25.17</v>
      </c>
    </row>
    <row r="313">
      <c r="A313" s="14">
        <v>2015.0</v>
      </c>
      <c r="B313" s="15" t="s">
        <v>65</v>
      </c>
      <c r="C313" s="14">
        <v>27.0</v>
      </c>
    </row>
    <row r="314">
      <c r="A314" s="14">
        <v>2015.0</v>
      </c>
      <c r="B314" s="15" t="s">
        <v>82</v>
      </c>
      <c r="C314" s="14">
        <v>4.13</v>
      </c>
    </row>
    <row r="315">
      <c r="A315" s="14">
        <v>2015.0</v>
      </c>
      <c r="B315" s="15" t="s">
        <v>130</v>
      </c>
      <c r="C315" s="14">
        <v>11.8</v>
      </c>
    </row>
    <row r="316">
      <c r="A316" s="14">
        <v>2015.0</v>
      </c>
      <c r="B316" s="15" t="s">
        <v>112</v>
      </c>
      <c r="C316" s="14">
        <v>140.0</v>
      </c>
    </row>
    <row r="317">
      <c r="A317" s="14">
        <v>2015.0</v>
      </c>
      <c r="B317" s="15" t="s">
        <v>157</v>
      </c>
      <c r="C317" s="14">
        <v>33.34</v>
      </c>
    </row>
    <row r="318">
      <c r="A318" s="14">
        <v>2015.0</v>
      </c>
      <c r="B318" s="15" t="s">
        <v>132</v>
      </c>
      <c r="C318" s="14">
        <v>8.21</v>
      </c>
    </row>
    <row r="319">
      <c r="A319" s="14">
        <v>2015.0</v>
      </c>
      <c r="B319" s="15" t="s">
        <v>90</v>
      </c>
      <c r="C319" s="14">
        <v>3.34</v>
      </c>
    </row>
    <row r="320">
      <c r="A320" s="14">
        <v>2015.0</v>
      </c>
      <c r="B320" s="15" t="s">
        <v>91</v>
      </c>
      <c r="C320" s="14">
        <v>4.05</v>
      </c>
    </row>
    <row r="321">
      <c r="A321" s="14">
        <v>2015.0</v>
      </c>
      <c r="B321" s="15" t="s">
        <v>21</v>
      </c>
      <c r="C321" s="14">
        <v>1.0</v>
      </c>
    </row>
    <row r="322">
      <c r="A322" s="14">
        <v>2015.0</v>
      </c>
      <c r="B322" s="15" t="s">
        <v>93</v>
      </c>
      <c r="C322" s="14">
        <v>0.45</v>
      </c>
    </row>
    <row r="323">
      <c r="A323" s="14">
        <v>2015.0</v>
      </c>
      <c r="B323" s="15" t="s">
        <v>94</v>
      </c>
      <c r="C323" s="14">
        <v>0.45</v>
      </c>
    </row>
    <row r="324">
      <c r="A324" s="14">
        <v>2015.0</v>
      </c>
      <c r="B324" s="15" t="s">
        <v>141</v>
      </c>
      <c r="C324" s="14">
        <v>0.65</v>
      </c>
    </row>
    <row r="325">
      <c r="A325" s="14">
        <v>2015.0</v>
      </c>
      <c r="B325" s="15" t="s">
        <v>142</v>
      </c>
      <c r="C325" s="14">
        <v>8.21</v>
      </c>
    </row>
    <row r="326">
      <c r="A326" s="14">
        <v>2015.0</v>
      </c>
      <c r="B326" s="15" t="s">
        <v>136</v>
      </c>
      <c r="C326" s="14">
        <v>10.58</v>
      </c>
    </row>
    <row r="327">
      <c r="A327" s="14">
        <v>2015.0</v>
      </c>
      <c r="B327" s="15" t="s">
        <v>137</v>
      </c>
      <c r="C327" s="14">
        <v>10.58</v>
      </c>
    </row>
    <row r="328">
      <c r="A328" s="14">
        <v>2015.0</v>
      </c>
      <c r="B328" s="15" t="s">
        <v>159</v>
      </c>
      <c r="C328" s="14">
        <v>2.84</v>
      </c>
    </row>
    <row r="329">
      <c r="A329" s="14">
        <v>2015.0</v>
      </c>
      <c r="B329" s="15" t="s">
        <v>104</v>
      </c>
      <c r="C329" s="14">
        <v>757.87</v>
      </c>
    </row>
    <row r="330">
      <c r="A330" s="14">
        <v>2015.0</v>
      </c>
      <c r="B330" s="15" t="s">
        <v>160</v>
      </c>
      <c r="C330" s="14">
        <v>2.96</v>
      </c>
    </row>
    <row r="331">
      <c r="A331" s="14">
        <v>2015.0</v>
      </c>
      <c r="B331" s="15" t="s">
        <v>155</v>
      </c>
      <c r="C331" s="14">
        <v>1619.07</v>
      </c>
    </row>
    <row r="332">
      <c r="A332" s="14">
        <v>2015.0</v>
      </c>
      <c r="B332" s="15" t="s">
        <v>9</v>
      </c>
      <c r="C332" s="14">
        <v>0.00117</v>
      </c>
    </row>
    <row r="333">
      <c r="A333" s="14">
        <v>2016.0</v>
      </c>
      <c r="B333" s="15" t="s">
        <v>37</v>
      </c>
      <c r="C333" s="14">
        <v>1.05</v>
      </c>
    </row>
    <row r="334">
      <c r="A334" s="14">
        <v>2016.0</v>
      </c>
      <c r="B334" s="15" t="s">
        <v>163</v>
      </c>
      <c r="C334" s="14">
        <v>54.6</v>
      </c>
    </row>
    <row r="335">
      <c r="A335" s="14">
        <v>2016.0</v>
      </c>
      <c r="B335" s="15" t="s">
        <v>148</v>
      </c>
      <c r="C335" s="14">
        <v>335.0</v>
      </c>
    </row>
    <row r="336">
      <c r="A336" s="14">
        <v>2016.0</v>
      </c>
      <c r="B336" s="15" t="s">
        <v>7</v>
      </c>
      <c r="C336" s="14">
        <v>2.09</v>
      </c>
    </row>
    <row r="337">
      <c r="A337" s="14">
        <v>2016.0</v>
      </c>
      <c r="B337" s="15" t="s">
        <v>149</v>
      </c>
      <c r="C337" s="14">
        <v>164.0</v>
      </c>
    </row>
    <row r="338">
      <c r="A338" s="14">
        <v>2016.0</v>
      </c>
      <c r="B338" s="15" t="s">
        <v>150</v>
      </c>
      <c r="C338" s="14">
        <v>164.0</v>
      </c>
    </row>
    <row r="339">
      <c r="A339" s="14">
        <v>2016.0</v>
      </c>
      <c r="B339" s="15" t="s">
        <v>96</v>
      </c>
      <c r="C339" s="14">
        <v>52.87</v>
      </c>
    </row>
    <row r="340">
      <c r="A340" s="14">
        <v>2016.0</v>
      </c>
      <c r="B340" s="15" t="s">
        <v>108</v>
      </c>
      <c r="C340" s="14">
        <v>0.01</v>
      </c>
    </row>
    <row r="341">
      <c r="A341" s="14">
        <v>2016.0</v>
      </c>
      <c r="B341" s="15" t="s">
        <v>43</v>
      </c>
      <c r="C341" s="14">
        <v>7.89</v>
      </c>
    </row>
    <row r="342">
      <c r="A342" s="14">
        <v>2016.0</v>
      </c>
      <c r="B342" s="15" t="s">
        <v>45</v>
      </c>
      <c r="C342" s="14">
        <v>674.39</v>
      </c>
    </row>
    <row r="343">
      <c r="A343" s="14">
        <v>2016.0</v>
      </c>
      <c r="B343" s="15" t="s">
        <v>106</v>
      </c>
      <c r="C343" s="14">
        <v>0.04</v>
      </c>
    </row>
    <row r="344">
      <c r="A344" s="14">
        <v>2016.0</v>
      </c>
      <c r="B344" s="15" t="s">
        <v>59</v>
      </c>
      <c r="C344" s="14">
        <v>0.02</v>
      </c>
    </row>
    <row r="345">
      <c r="A345" s="14">
        <v>2016.0</v>
      </c>
      <c r="B345" s="15" t="s">
        <v>78</v>
      </c>
      <c r="C345" s="14">
        <v>187.0</v>
      </c>
    </row>
    <row r="346">
      <c r="A346" s="14">
        <v>2016.0</v>
      </c>
      <c r="B346" s="15" t="s">
        <v>49</v>
      </c>
      <c r="C346" s="14">
        <v>78.0</v>
      </c>
    </row>
    <row r="347">
      <c r="A347" s="14">
        <v>2016.0</v>
      </c>
      <c r="B347" s="15" t="s">
        <v>69</v>
      </c>
      <c r="C347" s="14">
        <v>1.03</v>
      </c>
    </row>
    <row r="348">
      <c r="A348" s="14">
        <v>2016.0</v>
      </c>
      <c r="B348" s="15" t="s">
        <v>162</v>
      </c>
      <c r="C348" s="14">
        <v>80.63</v>
      </c>
    </row>
    <row r="349">
      <c r="A349" s="14">
        <v>2016.0</v>
      </c>
      <c r="B349" s="15" t="s">
        <v>147</v>
      </c>
      <c r="C349" s="14">
        <v>432.79</v>
      </c>
    </row>
    <row r="350">
      <c r="A350" s="14">
        <v>2016.0</v>
      </c>
      <c r="B350" s="15" t="s">
        <v>76</v>
      </c>
      <c r="C350" s="14">
        <v>7.11</v>
      </c>
    </row>
    <row r="351">
      <c r="A351" s="14">
        <v>2016.0</v>
      </c>
      <c r="B351" s="15" t="s">
        <v>126</v>
      </c>
      <c r="C351" s="14">
        <v>0.06</v>
      </c>
    </row>
    <row r="352">
      <c r="A352" s="14">
        <v>2016.0</v>
      </c>
      <c r="B352" s="15" t="s">
        <v>74</v>
      </c>
      <c r="C352" s="14">
        <v>26.0</v>
      </c>
    </row>
    <row r="353">
      <c r="A353" s="14">
        <v>2016.0</v>
      </c>
      <c r="B353" s="15" t="s">
        <v>65</v>
      </c>
      <c r="C353" s="14">
        <v>20.0</v>
      </c>
    </row>
    <row r="354">
      <c r="A354" s="14">
        <v>2016.0</v>
      </c>
      <c r="B354" s="15" t="s">
        <v>82</v>
      </c>
      <c r="C354" s="14">
        <v>6.59</v>
      </c>
    </row>
    <row r="355">
      <c r="A355" s="14">
        <v>2016.0</v>
      </c>
      <c r="B355" s="15" t="s">
        <v>153</v>
      </c>
      <c r="C355" s="14">
        <v>0.52</v>
      </c>
    </row>
    <row r="356">
      <c r="A356" s="14">
        <v>2016.0</v>
      </c>
      <c r="B356" s="15" t="s">
        <v>130</v>
      </c>
      <c r="C356" s="14">
        <v>13.8</v>
      </c>
    </row>
    <row r="357">
      <c r="A357" s="14">
        <v>2016.0</v>
      </c>
      <c r="B357" s="15" t="s">
        <v>112</v>
      </c>
      <c r="C357" s="14">
        <v>216.0</v>
      </c>
    </row>
    <row r="358">
      <c r="A358" s="14">
        <v>2016.0</v>
      </c>
      <c r="B358" s="15" t="s">
        <v>157</v>
      </c>
      <c r="C358" s="14">
        <v>22.86</v>
      </c>
    </row>
    <row r="359">
      <c r="A359" s="14">
        <v>2016.0</v>
      </c>
      <c r="B359" s="15" t="s">
        <v>132</v>
      </c>
      <c r="C359" s="14">
        <v>11.75</v>
      </c>
    </row>
    <row r="360">
      <c r="A360" s="14">
        <v>2016.0</v>
      </c>
      <c r="B360" s="15" t="s">
        <v>90</v>
      </c>
      <c r="C360" s="14">
        <v>5.92</v>
      </c>
    </row>
    <row r="361">
      <c r="A361" s="14">
        <v>2016.0</v>
      </c>
      <c r="B361" s="15" t="s">
        <v>91</v>
      </c>
      <c r="C361" s="14">
        <v>5.92</v>
      </c>
    </row>
    <row r="362">
      <c r="A362" s="14">
        <v>2016.0</v>
      </c>
      <c r="B362" s="15" t="s">
        <v>21</v>
      </c>
      <c r="C362" s="14">
        <v>1.08</v>
      </c>
    </row>
    <row r="363">
      <c r="A363" s="14">
        <v>2016.0</v>
      </c>
      <c r="B363" s="15" t="s">
        <v>93</v>
      </c>
      <c r="C363" s="14">
        <v>1.97</v>
      </c>
    </row>
    <row r="364">
      <c r="A364" s="14">
        <v>2016.0</v>
      </c>
      <c r="B364" s="15" t="s">
        <v>94</v>
      </c>
      <c r="C364" s="14">
        <v>1.97</v>
      </c>
    </row>
    <row r="365">
      <c r="A365" s="14">
        <v>2016.0</v>
      </c>
      <c r="B365" s="15" t="s">
        <v>141</v>
      </c>
      <c r="C365" s="14">
        <v>0.6</v>
      </c>
    </row>
    <row r="366">
      <c r="A366" s="14">
        <v>2016.0</v>
      </c>
      <c r="B366" s="15" t="s">
        <v>142</v>
      </c>
      <c r="C366" s="14">
        <v>6.92</v>
      </c>
    </row>
    <row r="367">
      <c r="A367" s="14">
        <v>2016.0</v>
      </c>
      <c r="B367" s="15" t="s">
        <v>136</v>
      </c>
      <c r="C367" s="14">
        <v>10.96</v>
      </c>
    </row>
    <row r="368">
      <c r="A368" s="14">
        <v>2016.0</v>
      </c>
      <c r="B368" s="15" t="s">
        <v>137</v>
      </c>
      <c r="C368" s="14">
        <v>10.96</v>
      </c>
    </row>
    <row r="369">
      <c r="A369" s="14">
        <v>2016.0</v>
      </c>
      <c r="B369" s="15" t="s">
        <v>104</v>
      </c>
      <c r="C369" s="14">
        <v>823.31</v>
      </c>
    </row>
    <row r="370">
      <c r="A370" s="14">
        <v>2016.0</v>
      </c>
      <c r="B370" s="15" t="s">
        <v>118</v>
      </c>
      <c r="C370" s="14">
        <v>0.31305378</v>
      </c>
    </row>
    <row r="371">
      <c r="A371" s="14">
        <v>2016.0</v>
      </c>
      <c r="B371" s="15" t="s">
        <v>155</v>
      </c>
      <c r="C371" s="14">
        <v>1284.22</v>
      </c>
    </row>
    <row r="372">
      <c r="A372" s="14">
        <v>2016.0</v>
      </c>
      <c r="B372" s="15" t="s">
        <v>9</v>
      </c>
      <c r="C372" s="14">
        <v>0.00117</v>
      </c>
    </row>
    <row r="373">
      <c r="A373" s="14">
        <v>2017.0</v>
      </c>
      <c r="B373" s="15" t="s">
        <v>37</v>
      </c>
      <c r="C373" s="14">
        <v>1.49</v>
      </c>
    </row>
    <row r="374">
      <c r="A374" s="14">
        <v>2017.0</v>
      </c>
      <c r="B374" s="15" t="s">
        <v>39</v>
      </c>
      <c r="C374" s="14">
        <v>17.48</v>
      </c>
    </row>
    <row r="375">
      <c r="A375" s="14">
        <v>2017.0</v>
      </c>
      <c r="B375" s="15" t="s">
        <v>163</v>
      </c>
      <c r="C375" s="14">
        <v>48.19</v>
      </c>
    </row>
    <row r="376">
      <c r="A376" s="14">
        <v>2017.0</v>
      </c>
      <c r="B376" s="15" t="s">
        <v>7</v>
      </c>
      <c r="C376" s="14">
        <v>8.93</v>
      </c>
    </row>
    <row r="377">
      <c r="A377" s="14">
        <v>2017.0</v>
      </c>
      <c r="B377" s="15" t="s">
        <v>96</v>
      </c>
      <c r="C377" s="14">
        <v>110.06</v>
      </c>
    </row>
    <row r="378">
      <c r="A378" s="14">
        <v>2017.0</v>
      </c>
      <c r="B378" s="15" t="s">
        <v>164</v>
      </c>
      <c r="C378" s="14">
        <v>6.45</v>
      </c>
    </row>
    <row r="379">
      <c r="A379" s="14">
        <v>2017.0</v>
      </c>
      <c r="B379" s="15" t="s">
        <v>165</v>
      </c>
      <c r="C379" s="14">
        <v>13.0</v>
      </c>
    </row>
    <row r="380">
      <c r="A380" s="14">
        <v>2017.0</v>
      </c>
      <c r="B380" s="15" t="s">
        <v>108</v>
      </c>
      <c r="C380" s="14">
        <v>0.0153828255</v>
      </c>
    </row>
    <row r="381">
      <c r="A381" s="14">
        <v>2017.0</v>
      </c>
      <c r="B381" s="15" t="s">
        <v>43</v>
      </c>
      <c r="C381" s="14">
        <v>8.04</v>
      </c>
    </row>
    <row r="382">
      <c r="A382" s="14">
        <v>2017.0</v>
      </c>
      <c r="B382" s="15" t="s">
        <v>45</v>
      </c>
      <c r="C382" s="14">
        <v>670.3</v>
      </c>
    </row>
    <row r="383">
      <c r="A383" s="14">
        <v>2017.0</v>
      </c>
      <c r="B383" s="15" t="s">
        <v>106</v>
      </c>
      <c r="C383" s="14">
        <v>0.05</v>
      </c>
    </row>
    <row r="384">
      <c r="A384" s="14">
        <v>2017.0</v>
      </c>
      <c r="B384" s="15" t="s">
        <v>59</v>
      </c>
      <c r="C384" s="14">
        <v>0.15</v>
      </c>
    </row>
    <row r="385">
      <c r="A385" s="14">
        <v>2017.0</v>
      </c>
      <c r="B385" s="15" t="s">
        <v>78</v>
      </c>
      <c r="C385" s="14">
        <v>205.0</v>
      </c>
    </row>
    <row r="386">
      <c r="A386" s="14">
        <v>2017.0</v>
      </c>
      <c r="B386" s="15" t="s">
        <v>69</v>
      </c>
      <c r="C386" s="14">
        <v>3.22</v>
      </c>
    </row>
    <row r="387">
      <c r="A387" s="14">
        <v>2017.0</v>
      </c>
      <c r="B387" s="15" t="s">
        <v>162</v>
      </c>
      <c r="C387" s="14">
        <v>32.25</v>
      </c>
    </row>
    <row r="388">
      <c r="A388" s="14">
        <v>2017.0</v>
      </c>
      <c r="B388" s="15" t="s">
        <v>147</v>
      </c>
      <c r="C388" s="14">
        <v>182.92</v>
      </c>
    </row>
    <row r="389">
      <c r="A389" s="14">
        <v>2017.0</v>
      </c>
      <c r="B389" s="15" t="s">
        <v>76</v>
      </c>
      <c r="C389" s="14">
        <v>10.17</v>
      </c>
    </row>
    <row r="390">
      <c r="A390" s="14">
        <v>2017.0</v>
      </c>
      <c r="B390" s="15" t="s">
        <v>74</v>
      </c>
      <c r="C390" s="14">
        <v>26.0</v>
      </c>
    </row>
    <row r="391">
      <c r="A391" s="14">
        <v>2017.0</v>
      </c>
      <c r="B391" s="15" t="s">
        <v>82</v>
      </c>
      <c r="C391" s="14">
        <v>12.56</v>
      </c>
    </row>
    <row r="392">
      <c r="A392" s="14">
        <v>2017.0</v>
      </c>
      <c r="B392" s="15" t="s">
        <v>153</v>
      </c>
      <c r="C392" s="14">
        <v>0.78</v>
      </c>
    </row>
    <row r="393">
      <c r="A393" s="14">
        <v>2017.0</v>
      </c>
      <c r="B393" s="15" t="s">
        <v>130</v>
      </c>
      <c r="C393" s="14">
        <v>13.95</v>
      </c>
    </row>
    <row r="394">
      <c r="A394" s="14">
        <v>2017.0</v>
      </c>
      <c r="B394" s="15" t="s">
        <v>112</v>
      </c>
      <c r="C394" s="14">
        <v>114.0</v>
      </c>
    </row>
    <row r="395">
      <c r="A395" s="14">
        <v>2017.0</v>
      </c>
      <c r="B395" s="15" t="s">
        <v>88</v>
      </c>
      <c r="C395" s="14">
        <v>256.71</v>
      </c>
    </row>
    <row r="396">
      <c r="A396" s="14">
        <v>2017.0</v>
      </c>
      <c r="B396" s="15" t="s">
        <v>157</v>
      </c>
      <c r="C396" s="14">
        <v>18.88</v>
      </c>
    </row>
    <row r="397">
      <c r="A397" s="14">
        <v>2017.0</v>
      </c>
      <c r="B397" s="15" t="s">
        <v>132</v>
      </c>
      <c r="C397" s="14">
        <v>9.81</v>
      </c>
    </row>
    <row r="398">
      <c r="A398" s="14">
        <v>2017.0</v>
      </c>
      <c r="B398" s="15" t="s">
        <v>90</v>
      </c>
      <c r="C398" s="14">
        <v>5.39</v>
      </c>
    </row>
    <row r="399">
      <c r="A399" s="14">
        <v>2017.0</v>
      </c>
      <c r="B399" s="15" t="s">
        <v>21</v>
      </c>
      <c r="C399" s="14">
        <v>1.14</v>
      </c>
    </row>
    <row r="400">
      <c r="A400" s="14">
        <v>2017.0</v>
      </c>
      <c r="B400" s="15" t="s">
        <v>93</v>
      </c>
      <c r="C400" s="14">
        <v>6.0</v>
      </c>
    </row>
    <row r="401">
      <c r="A401" s="14">
        <v>2017.0</v>
      </c>
      <c r="B401" s="15" t="s">
        <v>94</v>
      </c>
      <c r="C401" s="14">
        <v>6.0</v>
      </c>
    </row>
    <row r="402">
      <c r="A402" s="14">
        <v>2017.0</v>
      </c>
      <c r="B402" s="15" t="s">
        <v>141</v>
      </c>
      <c r="C402" s="14">
        <v>0.6</v>
      </c>
    </row>
    <row r="403">
      <c r="A403" s="14">
        <v>2017.0</v>
      </c>
      <c r="B403" s="15" t="s">
        <v>142</v>
      </c>
      <c r="C403" s="14">
        <v>0.6</v>
      </c>
    </row>
    <row r="404">
      <c r="A404" s="14">
        <v>2017.0</v>
      </c>
      <c r="B404" s="15" t="s">
        <v>136</v>
      </c>
      <c r="C404" s="14">
        <v>50.59</v>
      </c>
    </row>
    <row r="405">
      <c r="A405" s="14">
        <v>2017.0</v>
      </c>
      <c r="B405" s="15" t="s">
        <v>137</v>
      </c>
      <c r="C405" s="14">
        <v>50.59</v>
      </c>
    </row>
    <row r="406">
      <c r="A406" s="14">
        <v>2017.0</v>
      </c>
      <c r="B406" s="15" t="s">
        <v>159</v>
      </c>
      <c r="C406" s="14">
        <v>1.96</v>
      </c>
    </row>
    <row r="407">
      <c r="A407" s="14">
        <v>2017.0</v>
      </c>
      <c r="B407" s="15" t="s">
        <v>104</v>
      </c>
      <c r="C407" s="14">
        <v>8170.97</v>
      </c>
    </row>
    <row r="408">
      <c r="A408" s="14">
        <v>2017.0</v>
      </c>
      <c r="B408" s="15" t="s">
        <v>118</v>
      </c>
      <c r="C408" s="14">
        <v>0.222050552</v>
      </c>
    </row>
    <row r="409">
      <c r="A409" s="14">
        <v>2017.0</v>
      </c>
      <c r="B409" s="15" t="s">
        <v>9</v>
      </c>
      <c r="C409" s="14">
        <v>0.00117</v>
      </c>
    </row>
    <row r="410">
      <c r="A410" s="14">
        <v>2018.0</v>
      </c>
      <c r="B410" s="15" t="s">
        <v>37</v>
      </c>
      <c r="C410" s="14">
        <v>0.11</v>
      </c>
    </row>
    <row r="411">
      <c r="A411" s="14">
        <v>2018.0</v>
      </c>
      <c r="B411" s="15" t="s">
        <v>39</v>
      </c>
      <c r="C411" s="14">
        <v>12.8053</v>
      </c>
    </row>
    <row r="412">
      <c r="A412" s="14">
        <v>2018.0</v>
      </c>
      <c r="B412" s="15" t="s">
        <v>7</v>
      </c>
      <c r="C412" s="14">
        <v>11.17</v>
      </c>
    </row>
    <row r="413">
      <c r="A413" s="14">
        <v>2018.0</v>
      </c>
      <c r="B413" s="15" t="s">
        <v>96</v>
      </c>
      <c r="C413" s="14">
        <v>156.37</v>
      </c>
    </row>
    <row r="414">
      <c r="A414" s="14">
        <v>2018.0</v>
      </c>
      <c r="B414" s="15" t="s">
        <v>164</v>
      </c>
      <c r="C414" s="14">
        <v>8.27</v>
      </c>
    </row>
    <row r="415">
      <c r="A415" s="14">
        <v>2018.0</v>
      </c>
      <c r="B415" s="15" t="s">
        <v>108</v>
      </c>
      <c r="C415" s="14">
        <v>0.0148</v>
      </c>
    </row>
    <row r="416">
      <c r="A416" s="14">
        <v>2018.0</v>
      </c>
      <c r="B416" s="15" t="s">
        <v>166</v>
      </c>
      <c r="C416" s="14">
        <v>79.5</v>
      </c>
    </row>
    <row r="417">
      <c r="A417" s="14">
        <v>2018.0</v>
      </c>
      <c r="B417" s="15" t="s">
        <v>43</v>
      </c>
      <c r="C417" s="14">
        <v>8.04</v>
      </c>
    </row>
    <row r="418">
      <c r="A418" s="14">
        <v>2018.0</v>
      </c>
      <c r="B418" s="15" t="s">
        <v>45</v>
      </c>
      <c r="C418" s="14">
        <v>1384.0</v>
      </c>
    </row>
    <row r="419">
      <c r="A419" s="14">
        <v>2018.0</v>
      </c>
      <c r="B419" s="15" t="s">
        <v>106</v>
      </c>
      <c r="C419" s="14">
        <v>0.0263</v>
      </c>
    </row>
    <row r="420">
      <c r="A420" s="14">
        <v>2018.0</v>
      </c>
      <c r="B420" s="15" t="s">
        <v>59</v>
      </c>
      <c r="C420" s="14">
        <v>0.13</v>
      </c>
    </row>
    <row r="421">
      <c r="A421" s="14">
        <v>2018.0</v>
      </c>
      <c r="B421" s="15" t="s">
        <v>78</v>
      </c>
      <c r="C421" s="14">
        <v>225.0</v>
      </c>
    </row>
    <row r="422">
      <c r="A422" s="14">
        <v>2018.0</v>
      </c>
      <c r="B422" s="15" t="s">
        <v>69</v>
      </c>
      <c r="C422" s="14">
        <v>5.313</v>
      </c>
    </row>
    <row r="423">
      <c r="A423" s="14">
        <v>2018.0</v>
      </c>
      <c r="B423" s="15" t="s">
        <v>147</v>
      </c>
      <c r="C423" s="14">
        <v>272.88</v>
      </c>
    </row>
    <row r="424">
      <c r="A424" s="14">
        <v>2018.0</v>
      </c>
      <c r="B424" s="15" t="s">
        <v>76</v>
      </c>
      <c r="C424" s="14">
        <v>5.47</v>
      </c>
    </row>
    <row r="425">
      <c r="A425" s="14">
        <v>2018.0</v>
      </c>
      <c r="B425" s="15" t="s">
        <v>74</v>
      </c>
      <c r="C425" s="14">
        <v>26.0</v>
      </c>
    </row>
    <row r="426">
      <c r="A426" s="14">
        <v>2018.0</v>
      </c>
      <c r="B426" s="15" t="s">
        <v>82</v>
      </c>
      <c r="C426" s="14">
        <v>19.46</v>
      </c>
    </row>
    <row r="427">
      <c r="A427" s="14">
        <v>2018.0</v>
      </c>
      <c r="B427" s="15" t="s">
        <v>130</v>
      </c>
      <c r="C427" s="14">
        <v>17.25</v>
      </c>
    </row>
    <row r="428">
      <c r="A428" s="14">
        <v>2018.0</v>
      </c>
      <c r="B428" s="15" t="s">
        <v>112</v>
      </c>
      <c r="C428" s="14">
        <v>105.0</v>
      </c>
    </row>
    <row r="429">
      <c r="A429" s="14">
        <v>2018.0</v>
      </c>
      <c r="B429" s="15" t="s">
        <v>86</v>
      </c>
      <c r="C429" s="14">
        <v>22.71</v>
      </c>
    </row>
    <row r="430">
      <c r="A430" s="14">
        <v>2018.0</v>
      </c>
      <c r="B430" s="15" t="s">
        <v>88</v>
      </c>
      <c r="C430" s="14">
        <v>278.23</v>
      </c>
    </row>
    <row r="431">
      <c r="A431" s="14">
        <v>2018.0</v>
      </c>
      <c r="B431" s="15" t="s">
        <v>157</v>
      </c>
      <c r="C431" s="14">
        <v>28.15</v>
      </c>
    </row>
    <row r="432">
      <c r="A432" s="14">
        <v>2018.0</v>
      </c>
      <c r="B432" s="15" t="s">
        <v>132</v>
      </c>
      <c r="C432" s="14">
        <v>21.23</v>
      </c>
    </row>
    <row r="433">
      <c r="A433" s="14">
        <v>2018.0</v>
      </c>
      <c r="B433" s="15" t="s">
        <v>90</v>
      </c>
      <c r="C433" s="14">
        <v>5.0458</v>
      </c>
    </row>
    <row r="434">
      <c r="A434" s="14">
        <v>2018.0</v>
      </c>
      <c r="B434" s="15" t="s">
        <v>93</v>
      </c>
      <c r="C434" s="14">
        <v>12.0</v>
      </c>
    </row>
    <row r="435">
      <c r="A435" s="14">
        <v>2018.0</v>
      </c>
      <c r="B435" s="15" t="s">
        <v>94</v>
      </c>
      <c r="C435" s="14">
        <v>12.0</v>
      </c>
    </row>
    <row r="436">
      <c r="A436" s="14">
        <v>2018.0</v>
      </c>
      <c r="B436" s="15" t="s">
        <v>116</v>
      </c>
      <c r="C436" s="14">
        <v>17.25</v>
      </c>
    </row>
    <row r="437">
      <c r="A437" s="14">
        <v>2018.0</v>
      </c>
      <c r="B437" s="15" t="s">
        <v>141</v>
      </c>
      <c r="C437" s="14">
        <v>0.65</v>
      </c>
    </row>
    <row r="438">
      <c r="A438" s="14">
        <v>2018.0</v>
      </c>
      <c r="B438" s="15" t="s">
        <v>142</v>
      </c>
      <c r="C438" s="14">
        <v>1.38</v>
      </c>
    </row>
    <row r="439">
      <c r="A439" s="14">
        <v>2018.0</v>
      </c>
      <c r="B439" s="15" t="s">
        <v>136</v>
      </c>
      <c r="C439" s="14">
        <v>42.43</v>
      </c>
    </row>
    <row r="440">
      <c r="A440" s="14">
        <v>2018.0</v>
      </c>
      <c r="B440" s="15" t="s">
        <v>137</v>
      </c>
      <c r="C440" s="14">
        <v>42.43</v>
      </c>
    </row>
    <row r="441">
      <c r="A441" s="14">
        <v>2018.0</v>
      </c>
      <c r="B441" s="15" t="s">
        <v>159</v>
      </c>
      <c r="C441" s="14">
        <v>2.28</v>
      </c>
    </row>
    <row r="442">
      <c r="A442" s="14">
        <v>2018.0</v>
      </c>
      <c r="B442" s="15" t="s">
        <v>104</v>
      </c>
      <c r="C442" s="14">
        <v>7578.27</v>
      </c>
    </row>
    <row r="443">
      <c r="A443" s="14">
        <v>2018.0</v>
      </c>
      <c r="B443" s="15" t="s">
        <v>118</v>
      </c>
      <c r="C443" s="14">
        <v>0.2221</v>
      </c>
    </row>
    <row r="444">
      <c r="A444" s="14">
        <v>2018.0</v>
      </c>
      <c r="B444" s="15" t="s">
        <v>9</v>
      </c>
      <c r="C444" s="14">
        <v>0.00345349</v>
      </c>
    </row>
    <row r="445">
      <c r="A445" s="14">
        <v>2019.0</v>
      </c>
      <c r="B445" s="15" t="s">
        <v>37</v>
      </c>
      <c r="C445" s="14">
        <v>0.11</v>
      </c>
    </row>
    <row r="446">
      <c r="A446" s="14">
        <v>2019.0</v>
      </c>
      <c r="B446" s="15" t="s">
        <v>39</v>
      </c>
      <c r="C446" s="14">
        <v>2.6877</v>
      </c>
    </row>
    <row r="447">
      <c r="A447" s="14">
        <v>2019.0</v>
      </c>
      <c r="B447" s="15" t="s">
        <v>7</v>
      </c>
      <c r="C447" s="14">
        <v>7.95</v>
      </c>
    </row>
    <row r="448">
      <c r="A448" s="14">
        <v>2019.0</v>
      </c>
      <c r="B448" s="15" t="s">
        <v>4</v>
      </c>
      <c r="C448" s="14">
        <v>0.11</v>
      </c>
    </row>
    <row r="449">
      <c r="A449" s="14">
        <v>2019.0</v>
      </c>
      <c r="B449" s="15" t="s">
        <v>96</v>
      </c>
      <c r="C449" s="14">
        <v>121.7</v>
      </c>
    </row>
    <row r="450">
      <c r="A450" s="14">
        <v>2019.0</v>
      </c>
      <c r="B450" s="15" t="s">
        <v>164</v>
      </c>
      <c r="C450" s="14">
        <v>9.51</v>
      </c>
    </row>
    <row r="451">
      <c r="A451" s="14">
        <v>2019.0</v>
      </c>
      <c r="B451" s="15" t="s">
        <v>108</v>
      </c>
      <c r="C451" s="14">
        <v>0.016</v>
      </c>
    </row>
    <row r="452">
      <c r="A452" s="14">
        <v>2019.0</v>
      </c>
      <c r="B452" s="15" t="s">
        <v>166</v>
      </c>
      <c r="C452" s="14">
        <v>92.06</v>
      </c>
    </row>
    <row r="453">
      <c r="A453" s="14">
        <v>2019.0</v>
      </c>
      <c r="B453" s="15" t="s">
        <v>43</v>
      </c>
      <c r="C453" s="14">
        <v>16.61</v>
      </c>
    </row>
    <row r="454">
      <c r="A454" s="14">
        <v>2019.0</v>
      </c>
      <c r="B454" s="15" t="s">
        <v>45</v>
      </c>
      <c r="C454" s="14">
        <v>2280.54</v>
      </c>
    </row>
    <row r="455">
      <c r="A455" s="14">
        <v>2019.0</v>
      </c>
      <c r="B455" s="15" t="s">
        <v>106</v>
      </c>
      <c r="C455" s="14">
        <v>0.0367</v>
      </c>
    </row>
    <row r="456">
      <c r="A456" s="14">
        <v>2019.0</v>
      </c>
      <c r="B456" s="15" t="s">
        <v>59</v>
      </c>
      <c r="C456" s="14">
        <v>0.1716</v>
      </c>
    </row>
    <row r="457">
      <c r="A457" s="14">
        <v>2019.0</v>
      </c>
      <c r="B457" s="15" t="s">
        <v>78</v>
      </c>
      <c r="C457" s="14">
        <v>347.0</v>
      </c>
    </row>
    <row r="458">
      <c r="A458" s="14">
        <v>2019.0</v>
      </c>
      <c r="B458" s="15" t="s">
        <v>49</v>
      </c>
      <c r="C458" s="14">
        <v>78.0</v>
      </c>
    </row>
    <row r="459">
      <c r="A459" s="14">
        <v>2019.0</v>
      </c>
      <c r="B459" s="15" t="s">
        <v>69</v>
      </c>
      <c r="C459" s="14">
        <v>3.576</v>
      </c>
    </row>
    <row r="460">
      <c r="A460" s="14">
        <v>2019.0</v>
      </c>
      <c r="B460" s="15" t="s">
        <v>147</v>
      </c>
      <c r="C460" s="14">
        <v>166.78</v>
      </c>
    </row>
    <row r="461">
      <c r="A461" s="14">
        <v>2019.0</v>
      </c>
      <c r="B461" s="15" t="s">
        <v>76</v>
      </c>
      <c r="C461" s="14">
        <v>7.7</v>
      </c>
    </row>
    <row r="462">
      <c r="A462" s="14">
        <v>2019.0</v>
      </c>
      <c r="B462" s="15" t="s">
        <v>74</v>
      </c>
      <c r="C462" s="14">
        <v>28.66</v>
      </c>
    </row>
    <row r="463">
      <c r="A463" s="14">
        <v>2019.0</v>
      </c>
      <c r="B463" s="15" t="s">
        <v>82</v>
      </c>
      <c r="C463" s="14">
        <v>22.86</v>
      </c>
    </row>
    <row r="464">
      <c r="A464" s="14">
        <v>2019.0</v>
      </c>
      <c r="B464" s="15" t="s">
        <v>130</v>
      </c>
      <c r="C464" s="14">
        <v>31.04</v>
      </c>
    </row>
    <row r="465">
      <c r="A465" s="14">
        <v>2019.0</v>
      </c>
      <c r="B465" s="15" t="s">
        <v>112</v>
      </c>
      <c r="C465" s="14">
        <v>249.0</v>
      </c>
    </row>
    <row r="466">
      <c r="A466" s="14">
        <v>2019.0</v>
      </c>
      <c r="B466" s="15" t="s">
        <v>86</v>
      </c>
      <c r="C466" s="14">
        <v>22.71</v>
      </c>
    </row>
    <row r="467">
      <c r="A467" s="14">
        <v>2019.0</v>
      </c>
      <c r="B467" s="15" t="s">
        <v>88</v>
      </c>
      <c r="C467" s="14">
        <v>306.6</v>
      </c>
    </row>
    <row r="468">
      <c r="A468" s="14">
        <v>2019.0</v>
      </c>
      <c r="B468" s="15" t="s">
        <v>157</v>
      </c>
      <c r="C468" s="14">
        <v>37.03</v>
      </c>
    </row>
    <row r="469">
      <c r="A469" s="14">
        <v>2019.0</v>
      </c>
      <c r="B469" s="15" t="s">
        <v>132</v>
      </c>
      <c r="C469" s="14">
        <v>26.67</v>
      </c>
    </row>
    <row r="470">
      <c r="A470" s="14">
        <v>2019.0</v>
      </c>
      <c r="B470" s="15" t="s">
        <v>90</v>
      </c>
      <c r="C470" s="14">
        <v>5.0</v>
      </c>
    </row>
    <row r="471">
      <c r="A471" s="14">
        <v>2019.0</v>
      </c>
      <c r="B471" s="15" t="s">
        <v>93</v>
      </c>
      <c r="C471" s="14">
        <v>16.0</v>
      </c>
    </row>
    <row r="472">
      <c r="A472" s="14">
        <v>2019.0</v>
      </c>
      <c r="B472" s="15" t="s">
        <v>94</v>
      </c>
      <c r="C472" s="14">
        <v>16.0</v>
      </c>
    </row>
    <row r="473">
      <c r="A473" s="14">
        <v>2019.0</v>
      </c>
      <c r="B473" s="15" t="s">
        <v>141</v>
      </c>
      <c r="C473" s="14">
        <v>0.65</v>
      </c>
    </row>
    <row r="474">
      <c r="A474" s="14">
        <v>2019.0</v>
      </c>
      <c r="B474" s="15" t="s">
        <v>142</v>
      </c>
      <c r="C474" s="14">
        <v>7.62</v>
      </c>
    </row>
    <row r="475">
      <c r="A475" s="14">
        <v>2019.0</v>
      </c>
      <c r="B475" s="15" t="s">
        <v>136</v>
      </c>
      <c r="C475" s="14">
        <v>119.11</v>
      </c>
    </row>
    <row r="476">
      <c r="A476" s="14">
        <v>2019.0</v>
      </c>
      <c r="B476" s="15" t="s">
        <v>137</v>
      </c>
      <c r="C476" s="14">
        <v>119.11</v>
      </c>
    </row>
    <row r="477">
      <c r="A477" s="14">
        <v>2019.0</v>
      </c>
      <c r="B477" s="15" t="s">
        <v>104</v>
      </c>
      <c r="C477" s="14">
        <v>10705.95</v>
      </c>
    </row>
    <row r="478">
      <c r="A478" s="14">
        <v>2019.0</v>
      </c>
      <c r="B478" s="15" t="s">
        <v>118</v>
      </c>
      <c r="C478" s="14">
        <v>0.2221</v>
      </c>
    </row>
    <row r="479">
      <c r="A479" s="14">
        <v>2019.0</v>
      </c>
      <c r="B479" s="15" t="s">
        <v>9</v>
      </c>
      <c r="C479" s="14">
        <v>0.0011</v>
      </c>
    </row>
    <row r="480">
      <c r="A480" s="14">
        <v>2020.0</v>
      </c>
      <c r="B480" s="15" t="s">
        <v>37</v>
      </c>
      <c r="C480" s="14">
        <v>0.13</v>
      </c>
    </row>
    <row r="481">
      <c r="A481" s="14">
        <v>2020.0</v>
      </c>
      <c r="B481" s="15" t="s">
        <v>7</v>
      </c>
      <c r="C481" s="14">
        <v>2.63</v>
      </c>
    </row>
    <row r="482">
      <c r="A482" s="14">
        <v>2020.0</v>
      </c>
      <c r="B482" s="15" t="s">
        <v>96</v>
      </c>
      <c r="C482" s="14">
        <v>106.39</v>
      </c>
    </row>
    <row r="483">
      <c r="A483" s="14">
        <v>2020.0</v>
      </c>
      <c r="B483" s="15" t="s">
        <v>164</v>
      </c>
      <c r="C483" s="14">
        <v>10.58</v>
      </c>
    </row>
    <row r="484">
      <c r="A484" s="14">
        <v>2020.0</v>
      </c>
      <c r="B484" s="15" t="s">
        <v>108</v>
      </c>
      <c r="C484" s="14">
        <v>0.0183</v>
      </c>
    </row>
    <row r="485">
      <c r="A485" s="14">
        <v>2020.0</v>
      </c>
      <c r="B485" s="15" t="s">
        <v>166</v>
      </c>
      <c r="C485" s="14">
        <v>184.115</v>
      </c>
    </row>
    <row r="486">
      <c r="A486" s="14">
        <v>2020.0</v>
      </c>
      <c r="B486" s="15" t="s">
        <v>43</v>
      </c>
      <c r="C486" s="14">
        <v>15.24</v>
      </c>
    </row>
    <row r="487">
      <c r="A487" s="14">
        <v>2020.0</v>
      </c>
      <c r="B487" s="15" t="s">
        <v>45</v>
      </c>
      <c r="C487" s="14">
        <v>1180.55</v>
      </c>
    </row>
    <row r="488">
      <c r="A488" s="14">
        <v>2020.0</v>
      </c>
      <c r="B488" s="15" t="s">
        <v>106</v>
      </c>
      <c r="C488" s="14">
        <v>0.0357</v>
      </c>
    </row>
    <row r="489">
      <c r="A489" s="14">
        <v>2020.0</v>
      </c>
      <c r="B489" s="15" t="s">
        <v>59</v>
      </c>
      <c r="C489" s="14">
        <v>0.1962</v>
      </c>
    </row>
    <row r="490">
      <c r="A490" s="14">
        <v>2020.0</v>
      </c>
      <c r="B490" s="15" t="s">
        <v>78</v>
      </c>
      <c r="C490" s="14">
        <v>396.0</v>
      </c>
    </row>
    <row r="491">
      <c r="A491" s="14">
        <v>2020.0</v>
      </c>
      <c r="B491" s="15" t="s">
        <v>49</v>
      </c>
      <c r="C491" s="14">
        <v>50.0</v>
      </c>
    </row>
    <row r="492">
      <c r="A492" s="14">
        <v>2020.0</v>
      </c>
      <c r="B492" s="15" t="s">
        <v>69</v>
      </c>
      <c r="C492" s="14">
        <v>3.764</v>
      </c>
    </row>
    <row r="493">
      <c r="A493" s="14">
        <v>2020.0</v>
      </c>
      <c r="B493" s="15" t="s">
        <v>147</v>
      </c>
      <c r="C493" s="14">
        <v>304.19</v>
      </c>
    </row>
    <row r="494">
      <c r="A494" s="14">
        <v>2020.0</v>
      </c>
      <c r="B494" s="15" t="s">
        <v>76</v>
      </c>
      <c r="C494" s="14">
        <v>7.93</v>
      </c>
    </row>
    <row r="495">
      <c r="A495" s="14">
        <v>2020.0</v>
      </c>
      <c r="B495" s="15" t="s">
        <v>74</v>
      </c>
      <c r="C495" s="14">
        <v>42.75</v>
      </c>
    </row>
    <row r="496">
      <c r="A496" s="14">
        <v>2020.0</v>
      </c>
      <c r="B496" s="15" t="s">
        <v>82</v>
      </c>
      <c r="C496" s="14">
        <v>20.73</v>
      </c>
    </row>
    <row r="497">
      <c r="A497" s="14">
        <v>2020.0</v>
      </c>
      <c r="B497" s="15" t="s">
        <v>130</v>
      </c>
      <c r="C497" s="14">
        <v>29.92</v>
      </c>
    </row>
    <row r="498">
      <c r="A498" s="14">
        <v>2020.0</v>
      </c>
      <c r="B498" s="15" t="s">
        <v>112</v>
      </c>
      <c r="C498" s="14">
        <v>300.0</v>
      </c>
    </row>
    <row r="499">
      <c r="A499" s="14">
        <v>2020.0</v>
      </c>
      <c r="B499" s="15" t="s">
        <v>86</v>
      </c>
      <c r="C499" s="14">
        <v>22.71</v>
      </c>
    </row>
    <row r="500">
      <c r="A500" s="14">
        <v>2020.0</v>
      </c>
      <c r="B500" s="15" t="s">
        <v>88</v>
      </c>
      <c r="C500" s="14">
        <v>484.93</v>
      </c>
    </row>
    <row r="501">
      <c r="A501" s="14">
        <v>2020.0</v>
      </c>
      <c r="B501" s="15" t="s">
        <v>157</v>
      </c>
      <c r="C501" s="14">
        <v>73.95</v>
      </c>
    </row>
    <row r="502">
      <c r="A502" s="14">
        <v>2020.0</v>
      </c>
      <c r="B502" s="15" t="s">
        <v>167</v>
      </c>
      <c r="C502" s="14">
        <v>77.5</v>
      </c>
    </row>
    <row r="503">
      <c r="A503" s="14">
        <v>2020.0</v>
      </c>
      <c r="B503" s="15" t="s">
        <v>132</v>
      </c>
      <c r="C503" s="14">
        <v>18.07</v>
      </c>
    </row>
    <row r="504">
      <c r="A504" s="14">
        <v>2020.0</v>
      </c>
      <c r="B504" s="15" t="s">
        <v>90</v>
      </c>
      <c r="C504" s="14">
        <v>5.0</v>
      </c>
    </row>
    <row r="505">
      <c r="A505" s="14">
        <v>2020.0</v>
      </c>
      <c r="B505" s="15" t="s">
        <v>93</v>
      </c>
      <c r="C505" s="14">
        <v>18.7</v>
      </c>
    </row>
    <row r="506">
      <c r="A506" s="14">
        <v>2020.0</v>
      </c>
      <c r="B506" s="15" t="s">
        <v>94</v>
      </c>
      <c r="C506" s="14">
        <v>18.7</v>
      </c>
    </row>
    <row r="507">
      <c r="A507" s="14">
        <v>2020.0</v>
      </c>
      <c r="B507" s="15" t="s">
        <v>141</v>
      </c>
      <c r="C507" s="14">
        <v>0.65</v>
      </c>
    </row>
    <row r="508">
      <c r="A508" s="14">
        <v>2020.0</v>
      </c>
      <c r="B508" s="15" t="s">
        <v>142</v>
      </c>
      <c r="C508" s="14">
        <v>0.97</v>
      </c>
    </row>
    <row r="509">
      <c r="A509" s="14">
        <v>2020.0</v>
      </c>
      <c r="B509" s="15" t="s">
        <v>136</v>
      </c>
      <c r="C509" s="14">
        <v>9.94</v>
      </c>
    </row>
    <row r="510">
      <c r="A510" s="14">
        <v>2020.0</v>
      </c>
      <c r="B510" s="15" t="s">
        <v>137</v>
      </c>
      <c r="C510" s="14">
        <v>10.94</v>
      </c>
    </row>
    <row r="511">
      <c r="A511" s="14">
        <v>2020.0</v>
      </c>
      <c r="B511" s="15" t="s">
        <v>104</v>
      </c>
      <c r="C511" s="14">
        <v>11612.2</v>
      </c>
    </row>
    <row r="512">
      <c r="A512" s="14">
        <v>2020.0</v>
      </c>
      <c r="B512" s="15" t="s">
        <v>118</v>
      </c>
      <c r="C512" s="14">
        <v>0.2221</v>
      </c>
    </row>
    <row r="513">
      <c r="A513" s="14">
        <v>2020.0</v>
      </c>
      <c r="B513" s="15" t="s">
        <v>9</v>
      </c>
      <c r="C513" s="14">
        <v>8.0E-4</v>
      </c>
    </row>
    <row r="514">
      <c r="A514" s="14">
        <v>2021.0</v>
      </c>
      <c r="B514" s="15" t="s">
        <v>37</v>
      </c>
      <c r="C514" s="14">
        <v>0.31</v>
      </c>
    </row>
    <row r="515">
      <c r="A515" s="14">
        <v>2021.0</v>
      </c>
      <c r="B515" s="15" t="s">
        <v>7</v>
      </c>
      <c r="C515" s="14">
        <v>18.33</v>
      </c>
    </row>
    <row r="516">
      <c r="A516" s="14">
        <v>2021.0</v>
      </c>
      <c r="B516" s="15" t="s">
        <v>96</v>
      </c>
      <c r="C516" s="14">
        <v>253.42</v>
      </c>
    </row>
    <row r="517">
      <c r="A517" s="14">
        <v>2021.0</v>
      </c>
      <c r="B517" s="15" t="s">
        <v>164</v>
      </c>
      <c r="C517" s="14">
        <v>11.27</v>
      </c>
    </row>
    <row r="518">
      <c r="A518" s="14">
        <v>2021.0</v>
      </c>
      <c r="B518" s="15" t="s">
        <v>108</v>
      </c>
      <c r="C518" s="14">
        <v>0.0161</v>
      </c>
    </row>
    <row r="519">
      <c r="A519" s="14">
        <v>2021.0</v>
      </c>
      <c r="B519" s="15" t="s">
        <v>166</v>
      </c>
      <c r="C519" s="14">
        <v>184.14</v>
      </c>
    </row>
    <row r="520">
      <c r="A520" s="14">
        <v>2021.0</v>
      </c>
      <c r="B520" s="15" t="s">
        <v>43</v>
      </c>
      <c r="C520" s="14">
        <v>12.55</v>
      </c>
    </row>
    <row r="521">
      <c r="A521" s="14">
        <v>2021.0</v>
      </c>
      <c r="B521" s="15" t="s">
        <v>168</v>
      </c>
      <c r="C521" s="14">
        <v>50.5</v>
      </c>
    </row>
    <row r="522">
      <c r="A522" s="14">
        <v>2021.0</v>
      </c>
      <c r="B522" s="15" t="s">
        <v>45</v>
      </c>
      <c r="C522" s="14">
        <v>1021.22</v>
      </c>
    </row>
    <row r="523">
      <c r="A523" s="14">
        <v>2021.0</v>
      </c>
      <c r="B523" s="15" t="s">
        <v>169</v>
      </c>
      <c r="C523" s="14">
        <v>40.4</v>
      </c>
    </row>
    <row r="524">
      <c r="A524" s="14">
        <v>2021.0</v>
      </c>
      <c r="B524" s="15" t="s">
        <v>106</v>
      </c>
      <c r="C524" s="14">
        <v>0.053</v>
      </c>
    </row>
    <row r="525">
      <c r="A525" s="14">
        <v>2021.0</v>
      </c>
      <c r="B525" s="15" t="s">
        <v>59</v>
      </c>
      <c r="C525" s="14">
        <v>0.1807</v>
      </c>
    </row>
    <row r="526">
      <c r="A526" s="14">
        <v>2021.0</v>
      </c>
      <c r="B526" s="15" t="s">
        <v>78</v>
      </c>
      <c r="C526" s="14">
        <v>553.0</v>
      </c>
    </row>
    <row r="527">
      <c r="A527" s="14">
        <v>2021.0</v>
      </c>
      <c r="B527" s="15" t="s">
        <v>69</v>
      </c>
      <c r="C527" s="14">
        <v>6.866</v>
      </c>
    </row>
    <row r="528">
      <c r="A528" s="14">
        <v>2021.0</v>
      </c>
      <c r="B528" s="15" t="s">
        <v>147</v>
      </c>
      <c r="C528" s="14">
        <v>784.99</v>
      </c>
    </row>
    <row r="529">
      <c r="A529" s="14">
        <v>2021.0</v>
      </c>
      <c r="B529" s="15" t="s">
        <v>76</v>
      </c>
      <c r="C529" s="14">
        <v>9.45</v>
      </c>
    </row>
    <row r="530">
      <c r="A530" s="14">
        <v>2021.0</v>
      </c>
      <c r="B530" s="15" t="s">
        <v>74</v>
      </c>
      <c r="C530" s="14">
        <v>37.06</v>
      </c>
    </row>
    <row r="531">
      <c r="A531" s="14">
        <v>2021.0</v>
      </c>
      <c r="B531" s="15" t="s">
        <v>82</v>
      </c>
      <c r="C531" s="14">
        <v>41.91</v>
      </c>
    </row>
    <row r="532">
      <c r="A532" s="14">
        <v>2021.0</v>
      </c>
      <c r="B532" s="15" t="s">
        <v>130</v>
      </c>
      <c r="C532" s="14">
        <v>51.41</v>
      </c>
    </row>
    <row r="533">
      <c r="A533" s="14">
        <v>2021.0</v>
      </c>
      <c r="B533" s="15" t="s">
        <v>112</v>
      </c>
      <c r="C533" s="14">
        <v>558.0</v>
      </c>
    </row>
    <row r="534">
      <c r="A534" s="14">
        <v>2021.0</v>
      </c>
      <c r="B534" s="15" t="s">
        <v>86</v>
      </c>
      <c r="C534" s="14">
        <v>45.43</v>
      </c>
    </row>
    <row r="535">
      <c r="A535" s="14">
        <v>2021.0</v>
      </c>
      <c r="B535" s="15" t="s">
        <v>88</v>
      </c>
      <c r="C535" s="14">
        <v>654.63</v>
      </c>
    </row>
    <row r="536">
      <c r="A536" s="14">
        <v>2021.0</v>
      </c>
      <c r="B536" s="15" t="s">
        <v>157</v>
      </c>
      <c r="C536" s="14">
        <v>99.5</v>
      </c>
    </row>
    <row r="537">
      <c r="A537" s="14">
        <v>2021.0</v>
      </c>
      <c r="B537" s="15" t="s">
        <v>132</v>
      </c>
      <c r="C537" s="14">
        <v>24.97</v>
      </c>
    </row>
    <row r="538">
      <c r="A538" s="14">
        <v>2021.0</v>
      </c>
      <c r="B538" s="15" t="s">
        <v>90</v>
      </c>
      <c r="C538" s="14">
        <v>5.0</v>
      </c>
    </row>
    <row r="539">
      <c r="A539" s="14">
        <v>2021.0</v>
      </c>
      <c r="B539" s="15" t="s">
        <v>93</v>
      </c>
      <c r="C539" s="14">
        <v>18.7</v>
      </c>
    </row>
    <row r="540">
      <c r="A540" s="14">
        <v>2021.0</v>
      </c>
      <c r="B540" s="15" t="s">
        <v>94</v>
      </c>
      <c r="C540" s="14">
        <v>18.7</v>
      </c>
    </row>
    <row r="541">
      <c r="A541" s="14">
        <v>2021.0</v>
      </c>
      <c r="B541" s="15" t="s">
        <v>141</v>
      </c>
      <c r="C541" s="14">
        <v>0.7</v>
      </c>
    </row>
    <row r="542">
      <c r="A542" s="14">
        <v>2021.0</v>
      </c>
      <c r="B542" s="15" t="s">
        <v>142</v>
      </c>
      <c r="C542" s="14">
        <v>6.72</v>
      </c>
    </row>
    <row r="543">
      <c r="A543" s="14">
        <v>2021.0</v>
      </c>
      <c r="B543" s="15" t="s">
        <v>136</v>
      </c>
      <c r="C543" s="14">
        <v>28.82</v>
      </c>
    </row>
    <row r="544">
      <c r="A544" s="14">
        <v>2021.0</v>
      </c>
      <c r="B544" s="15" t="s">
        <v>137</v>
      </c>
      <c r="C544" s="14">
        <v>28.82</v>
      </c>
    </row>
    <row r="545">
      <c r="A545" s="14">
        <v>2021.0</v>
      </c>
      <c r="B545" s="15" t="s">
        <v>104</v>
      </c>
      <c r="C545" s="14">
        <v>9224.28</v>
      </c>
    </row>
    <row r="546">
      <c r="A546" s="14">
        <v>2021.0</v>
      </c>
      <c r="B546" s="15" t="s">
        <v>9</v>
      </c>
      <c r="C546" s="14">
        <v>0.0014</v>
      </c>
    </row>
    <row r="547">
      <c r="A547" s="14">
        <v>2022.0</v>
      </c>
      <c r="B547" s="15" t="s">
        <v>43</v>
      </c>
      <c r="C547" s="14">
        <v>51.03</v>
      </c>
    </row>
    <row r="548">
      <c r="A548" s="14">
        <v>2022.0</v>
      </c>
      <c r="B548" s="15" t="s">
        <v>45</v>
      </c>
      <c r="C548" s="14">
        <v>2689.39</v>
      </c>
    </row>
    <row r="549">
      <c r="A549" s="14">
        <v>2022.0</v>
      </c>
      <c r="B549" s="15" t="s">
        <v>106</v>
      </c>
      <c r="C549" s="14">
        <v>0.053</v>
      </c>
    </row>
    <row r="550">
      <c r="A550" s="14">
        <v>2022.0</v>
      </c>
      <c r="B550" s="15" t="s">
        <v>59</v>
      </c>
      <c r="C550" s="14">
        <v>0.2366</v>
      </c>
    </row>
    <row r="551">
      <c r="A551" s="14">
        <v>2022.0</v>
      </c>
      <c r="B551" s="15" t="s">
        <v>78</v>
      </c>
      <c r="C551" s="14">
        <v>793.0</v>
      </c>
    </row>
    <row r="552">
      <c r="A552" s="14">
        <v>2022.0</v>
      </c>
      <c r="B552" s="15" t="s">
        <v>69</v>
      </c>
      <c r="C552" s="14">
        <v>2.663</v>
      </c>
    </row>
    <row r="553">
      <c r="A553" s="14">
        <v>2022.0</v>
      </c>
      <c r="B553" s="15" t="s">
        <v>74</v>
      </c>
      <c r="C553" s="14">
        <v>33.85</v>
      </c>
    </row>
    <row r="554">
      <c r="A554" s="14">
        <v>2022.0</v>
      </c>
      <c r="B554" s="15" t="s">
        <v>130</v>
      </c>
      <c r="C554" s="14">
        <v>88.77</v>
      </c>
    </row>
    <row r="555">
      <c r="A555" s="14">
        <v>2022.0</v>
      </c>
      <c r="B555" s="15" t="s">
        <v>112</v>
      </c>
      <c r="C555" s="14">
        <v>1098.0</v>
      </c>
    </row>
    <row r="556">
      <c r="A556" s="14">
        <v>2022.0</v>
      </c>
      <c r="B556" s="15" t="s">
        <v>132</v>
      </c>
      <c r="C556" s="14">
        <v>23.63</v>
      </c>
    </row>
    <row r="557">
      <c r="A557" s="14">
        <v>2022.0</v>
      </c>
      <c r="B557" s="15" t="s">
        <v>90</v>
      </c>
      <c r="C557" s="14">
        <v>4.56</v>
      </c>
    </row>
    <row r="558">
      <c r="A558" s="14">
        <v>2022.0</v>
      </c>
      <c r="B558" s="15" t="s">
        <v>21</v>
      </c>
      <c r="C558" s="14">
        <v>1.21</v>
      </c>
    </row>
    <row r="559">
      <c r="A559" s="14">
        <v>2022.0</v>
      </c>
      <c r="B559" s="15" t="s">
        <v>141</v>
      </c>
      <c r="C559" s="14">
        <v>0.8</v>
      </c>
    </row>
    <row r="560">
      <c r="A560" s="14">
        <v>2022.0</v>
      </c>
      <c r="B560" s="15" t="s">
        <v>142</v>
      </c>
      <c r="C560" s="14">
        <v>4.73</v>
      </c>
    </row>
    <row r="561">
      <c r="A561" s="14">
        <v>2022.0</v>
      </c>
      <c r="B561" s="15" t="s">
        <v>136</v>
      </c>
      <c r="C561" s="14">
        <v>58.83</v>
      </c>
    </row>
    <row r="562">
      <c r="A562" s="14">
        <v>2022.0</v>
      </c>
      <c r="B562" s="15" t="s">
        <v>137</v>
      </c>
      <c r="C562" s="14">
        <v>58.83</v>
      </c>
    </row>
    <row r="563">
      <c r="A563" s="14">
        <v>2022.0</v>
      </c>
      <c r="B563" s="15" t="s">
        <v>104</v>
      </c>
      <c r="C563" s="14">
        <v>10497.36</v>
      </c>
    </row>
    <row r="564">
      <c r="A564" s="14">
        <v>2023.0</v>
      </c>
      <c r="B564" s="15" t="s">
        <v>37</v>
      </c>
      <c r="C564" s="14">
        <v>0.41</v>
      </c>
    </row>
    <row r="565">
      <c r="A565" s="14">
        <v>2023.0</v>
      </c>
      <c r="B565" s="15" t="s">
        <v>7</v>
      </c>
      <c r="C565" s="14">
        <v>3.77</v>
      </c>
    </row>
    <row r="566">
      <c r="A566" s="14">
        <v>2023.0</v>
      </c>
      <c r="B566" s="15" t="s">
        <v>134</v>
      </c>
      <c r="C566" s="14">
        <v>4.29</v>
      </c>
    </row>
    <row r="567">
      <c r="A567" s="14">
        <v>2023.0</v>
      </c>
      <c r="B567" s="15" t="s">
        <v>45</v>
      </c>
      <c r="C567" s="14">
        <v>915.33</v>
      </c>
    </row>
    <row r="568">
      <c r="A568" s="14">
        <v>2023.0</v>
      </c>
      <c r="B568" s="15" t="s">
        <v>106</v>
      </c>
      <c r="C568" s="14">
        <v>0.0503</v>
      </c>
    </row>
    <row r="569">
      <c r="A569" s="14">
        <v>2023.0</v>
      </c>
      <c r="B569" s="15" t="s">
        <v>59</v>
      </c>
      <c r="C569" s="14">
        <v>0.2837</v>
      </c>
    </row>
    <row r="570">
      <c r="A570" s="14">
        <v>2023.0</v>
      </c>
      <c r="B570" s="15" t="s">
        <v>78</v>
      </c>
      <c r="C570" s="14">
        <v>885.0</v>
      </c>
    </row>
    <row r="571">
      <c r="A571" s="14">
        <v>2023.0</v>
      </c>
      <c r="B571" s="15" t="s">
        <v>76</v>
      </c>
      <c r="C571" s="14">
        <v>4.84</v>
      </c>
    </row>
    <row r="572">
      <c r="A572" s="14">
        <v>2023.0</v>
      </c>
      <c r="B572" s="15" t="s">
        <v>126</v>
      </c>
      <c r="C572" s="14">
        <v>0.1865</v>
      </c>
    </row>
    <row r="573">
      <c r="A573" s="14">
        <v>2023.0</v>
      </c>
      <c r="B573" s="15" t="s">
        <v>74</v>
      </c>
      <c r="C573" s="14">
        <v>34.29</v>
      </c>
    </row>
    <row r="574">
      <c r="A574" s="14">
        <v>2023.0</v>
      </c>
      <c r="B574" s="15" t="s">
        <v>82</v>
      </c>
      <c r="C574" s="14">
        <v>25.43</v>
      </c>
    </row>
    <row r="575">
      <c r="A575" s="14">
        <v>2023.0</v>
      </c>
      <c r="B575" s="15" t="s">
        <v>130</v>
      </c>
      <c r="C575" s="14">
        <v>95.08</v>
      </c>
    </row>
    <row r="576">
      <c r="A576" s="14">
        <v>2023.0</v>
      </c>
      <c r="B576" s="15" t="s">
        <v>112</v>
      </c>
      <c r="C576" s="14">
        <v>1020.0</v>
      </c>
    </row>
    <row r="577">
      <c r="A577" s="14">
        <v>2023.0</v>
      </c>
      <c r="B577" s="15" t="s">
        <v>51</v>
      </c>
      <c r="C577" s="14">
        <v>72.61</v>
      </c>
    </row>
    <row r="578">
      <c r="A578" s="14">
        <v>2023.0</v>
      </c>
      <c r="B578" s="15" t="s">
        <v>132</v>
      </c>
      <c r="C578" s="14">
        <v>38.36</v>
      </c>
    </row>
    <row r="579">
      <c r="A579" s="14">
        <v>2023.0</v>
      </c>
      <c r="B579" s="15" t="s">
        <v>90</v>
      </c>
      <c r="C579" s="14">
        <v>5.4465</v>
      </c>
    </row>
    <row r="580">
      <c r="A580" s="14">
        <v>2023.0</v>
      </c>
      <c r="B580" s="15" t="s">
        <v>93</v>
      </c>
      <c r="C580" s="14">
        <v>25.0</v>
      </c>
    </row>
    <row r="581">
      <c r="A581" s="14">
        <v>2023.0</v>
      </c>
      <c r="B581" s="15" t="s">
        <v>94</v>
      </c>
      <c r="C581" s="14">
        <v>25.0</v>
      </c>
    </row>
    <row r="582">
      <c r="A582" s="14">
        <v>2023.0</v>
      </c>
      <c r="B582" s="15" t="s">
        <v>98</v>
      </c>
      <c r="C582" s="14">
        <v>2.0</v>
      </c>
    </row>
    <row r="583">
      <c r="A583" s="14">
        <v>2023.0</v>
      </c>
      <c r="B583" s="15" t="s">
        <v>141</v>
      </c>
      <c r="C583" s="14">
        <v>0.8</v>
      </c>
    </row>
    <row r="584">
      <c r="A584" s="14">
        <v>2023.0</v>
      </c>
      <c r="B584" s="15" t="s">
        <v>142</v>
      </c>
      <c r="C584" s="14">
        <v>0.8</v>
      </c>
    </row>
    <row r="585">
      <c r="A585" s="14">
        <v>2023.0</v>
      </c>
      <c r="B585" s="15" t="s">
        <v>136</v>
      </c>
      <c r="C585" s="14">
        <v>62.11</v>
      </c>
    </row>
    <row r="586">
      <c r="A586" s="14">
        <v>2023.0</v>
      </c>
      <c r="B586" s="15" t="s">
        <v>137</v>
      </c>
      <c r="C586" s="14">
        <v>62.11</v>
      </c>
    </row>
    <row r="587">
      <c r="A587" s="14">
        <v>2023.0</v>
      </c>
      <c r="B587" s="15" t="s">
        <v>104</v>
      </c>
      <c r="C587" s="14">
        <v>16665.2</v>
      </c>
    </row>
    <row r="588">
      <c r="A588" s="14">
        <v>2024.0</v>
      </c>
      <c r="B588" s="15" t="s">
        <v>37</v>
      </c>
      <c r="C588" s="14">
        <v>0.52</v>
      </c>
    </row>
    <row r="589">
      <c r="A589" s="14">
        <v>2024.0</v>
      </c>
      <c r="B589" s="15" t="s">
        <v>7</v>
      </c>
      <c r="C589" s="14">
        <v>4.51</v>
      </c>
    </row>
    <row r="590">
      <c r="A590" s="14">
        <v>2024.0</v>
      </c>
      <c r="B590" s="15" t="s">
        <v>120</v>
      </c>
      <c r="C590" s="14">
        <v>7.89</v>
      </c>
    </row>
    <row r="591">
      <c r="A591" s="14">
        <v>2024.0</v>
      </c>
      <c r="B591" s="15" t="s">
        <v>33</v>
      </c>
      <c r="C591" s="14">
        <v>50.63</v>
      </c>
    </row>
    <row r="592">
      <c r="A592" s="14">
        <v>2024.0</v>
      </c>
      <c r="B592" s="15" t="s">
        <v>96</v>
      </c>
      <c r="C592" s="14">
        <v>309.93</v>
      </c>
    </row>
    <row r="593">
      <c r="A593" s="14">
        <v>2024.0</v>
      </c>
      <c r="B593" s="15" t="s">
        <v>134</v>
      </c>
      <c r="C593" s="14">
        <v>17.59</v>
      </c>
    </row>
    <row r="594">
      <c r="A594" s="14">
        <v>2024.0</v>
      </c>
      <c r="B594" s="15" t="s">
        <v>25</v>
      </c>
      <c r="C594" s="14">
        <v>907.0</v>
      </c>
    </row>
    <row r="595">
      <c r="A595" s="14">
        <v>2024.0</v>
      </c>
      <c r="B595" s="15" t="s">
        <v>59</v>
      </c>
      <c r="C595" s="14">
        <v>0.326</v>
      </c>
    </row>
    <row r="596">
      <c r="A596" s="14">
        <v>2024.0</v>
      </c>
      <c r="B596" s="15" t="s">
        <v>63</v>
      </c>
      <c r="C596" s="14">
        <v>75.0</v>
      </c>
    </row>
    <row r="597">
      <c r="A597" s="14">
        <v>2024.0</v>
      </c>
      <c r="B597" s="15" t="s">
        <v>78</v>
      </c>
      <c r="C597" s="14">
        <v>1012.0</v>
      </c>
    </row>
    <row r="598">
      <c r="A598" s="14">
        <v>2024.0</v>
      </c>
      <c r="B598" s="15" t="s">
        <v>69</v>
      </c>
      <c r="C598" s="14">
        <v>5.246</v>
      </c>
    </row>
    <row r="599">
      <c r="A599" s="14">
        <v>2024.0</v>
      </c>
      <c r="B599" s="15" t="s">
        <v>147</v>
      </c>
      <c r="C599" s="14">
        <v>824.26</v>
      </c>
    </row>
    <row r="600">
      <c r="A600" s="14">
        <v>2024.0</v>
      </c>
      <c r="B600" s="15" t="s">
        <v>76</v>
      </c>
      <c r="C600" s="14">
        <v>17.35</v>
      </c>
    </row>
    <row r="601">
      <c r="A601" s="14">
        <v>2024.0</v>
      </c>
      <c r="B601" s="15" t="s">
        <v>126</v>
      </c>
      <c r="C601" s="14">
        <v>0.1604</v>
      </c>
    </row>
    <row r="602">
      <c r="A602" s="14">
        <v>2024.0</v>
      </c>
      <c r="B602" s="15" t="s">
        <v>74</v>
      </c>
      <c r="C602" s="14">
        <v>35.0</v>
      </c>
    </row>
    <row r="603">
      <c r="A603" s="14">
        <v>2024.0</v>
      </c>
      <c r="B603" s="15" t="s">
        <v>82</v>
      </c>
      <c r="C603" s="14">
        <v>25.43</v>
      </c>
    </row>
    <row r="604">
      <c r="A604" s="14">
        <v>2024.0</v>
      </c>
      <c r="B604" s="15" t="s">
        <v>130</v>
      </c>
      <c r="C604" s="14">
        <v>79.59</v>
      </c>
    </row>
    <row r="605">
      <c r="A605" s="14">
        <v>2024.0</v>
      </c>
      <c r="B605" s="15" t="s">
        <v>112</v>
      </c>
      <c r="C605" s="14">
        <v>552.0</v>
      </c>
    </row>
    <row r="606">
      <c r="A606" s="14">
        <v>2024.0</v>
      </c>
      <c r="B606" s="15" t="s">
        <v>88</v>
      </c>
      <c r="C606" s="14">
        <v>1301.75</v>
      </c>
    </row>
    <row r="607">
      <c r="A607" s="14">
        <v>2024.0</v>
      </c>
      <c r="B607" s="15" t="s">
        <v>51</v>
      </c>
      <c r="C607" s="14">
        <v>94.63</v>
      </c>
    </row>
    <row r="608">
      <c r="A608" s="14">
        <v>2024.0</v>
      </c>
      <c r="B608" s="15" t="s">
        <v>132</v>
      </c>
      <c r="C608" s="14">
        <v>59.78</v>
      </c>
    </row>
    <row r="609">
      <c r="A609" s="14">
        <v>2024.0</v>
      </c>
      <c r="B609" s="15" t="s">
        <v>90</v>
      </c>
      <c r="C609" s="14">
        <v>6.06</v>
      </c>
    </row>
    <row r="610">
      <c r="A610" s="14">
        <v>2024.0</v>
      </c>
      <c r="B610" s="15" t="s">
        <v>93</v>
      </c>
      <c r="C610" s="14">
        <v>33.3</v>
      </c>
    </row>
    <row r="611">
      <c r="A611" s="14">
        <v>2024.0</v>
      </c>
      <c r="B611" s="15" t="s">
        <v>94</v>
      </c>
      <c r="C611" s="14">
        <v>33.3</v>
      </c>
    </row>
    <row r="612">
      <c r="A612" s="14">
        <v>2024.0</v>
      </c>
      <c r="B612" s="15" t="s">
        <v>98</v>
      </c>
      <c r="C612" s="14">
        <v>6.0</v>
      </c>
    </row>
    <row r="613">
      <c r="A613" s="14">
        <v>2024.0</v>
      </c>
      <c r="B613" s="15" t="s">
        <v>141</v>
      </c>
      <c r="C613" s="14">
        <v>0.85</v>
      </c>
    </row>
    <row r="614">
      <c r="A614" s="14">
        <v>2024.0</v>
      </c>
      <c r="B614" s="15" t="s">
        <v>142</v>
      </c>
      <c r="C614" s="14">
        <v>12.29</v>
      </c>
    </row>
    <row r="615">
      <c r="A615" s="14">
        <v>2024.0</v>
      </c>
      <c r="B615" s="15" t="s">
        <v>100</v>
      </c>
      <c r="C615" s="14">
        <v>1.14</v>
      </c>
    </row>
    <row r="616">
      <c r="A616" s="14">
        <v>2024.0</v>
      </c>
      <c r="B616" s="15" t="s">
        <v>23</v>
      </c>
      <c r="C616" s="14">
        <v>92.5</v>
      </c>
    </row>
    <row r="617">
      <c r="A617" s="14">
        <v>2024.0</v>
      </c>
      <c r="B617" s="15" t="s">
        <v>136</v>
      </c>
      <c r="C617" s="14">
        <v>98.54</v>
      </c>
    </row>
    <row r="618">
      <c r="A618" s="14">
        <v>2024.0</v>
      </c>
      <c r="B618" s="15" t="s">
        <v>137</v>
      </c>
      <c r="C618" s="14">
        <v>98.54</v>
      </c>
    </row>
    <row r="619">
      <c r="A619" s="14">
        <v>2024.0</v>
      </c>
      <c r="B619" s="15" t="s">
        <v>104</v>
      </c>
      <c r="C619" s="14">
        <v>177.2</v>
      </c>
    </row>
    <row r="620">
      <c r="A620" s="14">
        <v>2024.0</v>
      </c>
      <c r="B620" s="15" t="s">
        <v>31</v>
      </c>
      <c r="C620" s="14">
        <v>80.0</v>
      </c>
    </row>
    <row r="621">
      <c r="A621" s="14">
        <v>2025.0</v>
      </c>
      <c r="B621" s="15" t="s">
        <v>39</v>
      </c>
      <c r="C621" s="14">
        <v>5.27</v>
      </c>
    </row>
    <row r="622">
      <c r="A622" s="14">
        <v>2025.0</v>
      </c>
      <c r="B622" s="15" t="s">
        <v>33</v>
      </c>
      <c r="C622" s="14">
        <v>46.33</v>
      </c>
    </row>
    <row r="623">
      <c r="A623" s="14">
        <v>2025.0</v>
      </c>
      <c r="B623" s="15" t="s">
        <v>27</v>
      </c>
      <c r="C623" s="14">
        <v>104.0</v>
      </c>
    </row>
    <row r="624">
      <c r="A624" s="14">
        <v>2025.0</v>
      </c>
      <c r="B624" s="15" t="s">
        <v>25</v>
      </c>
      <c r="C624" s="14">
        <v>233.0</v>
      </c>
    </row>
    <row r="625">
      <c r="A625" s="14">
        <v>2025.0</v>
      </c>
      <c r="B625" s="15" t="s">
        <v>59</v>
      </c>
      <c r="C625" s="14">
        <v>0.3538</v>
      </c>
    </row>
    <row r="626">
      <c r="A626" s="14">
        <v>2025.0</v>
      </c>
      <c r="B626" s="15" t="s">
        <v>78</v>
      </c>
      <c r="C626" s="14">
        <v>541.0</v>
      </c>
    </row>
    <row r="627">
      <c r="A627" s="14">
        <v>2025.0</v>
      </c>
      <c r="B627" s="15" t="s">
        <v>11</v>
      </c>
      <c r="C627" s="14">
        <v>64.0</v>
      </c>
    </row>
    <row r="628">
      <c r="A628" s="14">
        <v>2025.0</v>
      </c>
      <c r="B628" s="15" t="s">
        <v>76</v>
      </c>
      <c r="C628" s="14">
        <v>26.11</v>
      </c>
    </row>
    <row r="629">
      <c r="A629" s="14">
        <v>2025.0</v>
      </c>
      <c r="B629" s="15" t="s">
        <v>74</v>
      </c>
      <c r="C629" s="14">
        <v>35.0</v>
      </c>
    </row>
    <row r="630">
      <c r="A630" s="14">
        <v>2025.0</v>
      </c>
      <c r="B630" s="15" t="s">
        <v>130</v>
      </c>
      <c r="C630" s="14">
        <v>82.15</v>
      </c>
    </row>
    <row r="631">
      <c r="A631" s="14">
        <v>2025.0</v>
      </c>
      <c r="B631" s="15" t="s">
        <v>17</v>
      </c>
      <c r="C631" s="14">
        <v>143.55</v>
      </c>
    </row>
    <row r="632">
      <c r="A632" s="14">
        <v>2025.0</v>
      </c>
      <c r="B632" s="15" t="s">
        <v>112</v>
      </c>
      <c r="C632" s="14">
        <v>459.0</v>
      </c>
    </row>
    <row r="633">
      <c r="A633" s="14">
        <v>2025.0</v>
      </c>
      <c r="B633" s="15" t="s">
        <v>88</v>
      </c>
      <c r="C633" s="14">
        <v>179.85</v>
      </c>
    </row>
    <row r="634">
      <c r="A634" s="14">
        <v>2025.0</v>
      </c>
      <c r="B634" s="15" t="s">
        <v>53</v>
      </c>
      <c r="C634" s="14">
        <v>10.5</v>
      </c>
    </row>
    <row r="635">
      <c r="A635" s="14">
        <v>2025.0</v>
      </c>
      <c r="B635" s="15" t="s">
        <v>132</v>
      </c>
      <c r="C635" s="14">
        <v>51.15</v>
      </c>
    </row>
    <row r="636">
      <c r="A636" s="14">
        <v>2025.0</v>
      </c>
      <c r="B636" s="15" t="s">
        <v>90</v>
      </c>
      <c r="C636" s="14">
        <v>2.71</v>
      </c>
    </row>
    <row r="637">
      <c r="A637" s="14">
        <v>2025.0</v>
      </c>
      <c r="B637" s="15" t="s">
        <v>93</v>
      </c>
      <c r="C637" s="14">
        <v>34.84</v>
      </c>
    </row>
    <row r="638">
      <c r="A638" s="14">
        <v>2025.0</v>
      </c>
      <c r="B638" s="15" t="s">
        <v>94</v>
      </c>
      <c r="C638" s="14">
        <v>34.84</v>
      </c>
    </row>
    <row r="639">
      <c r="A639" s="14">
        <v>2025.0</v>
      </c>
      <c r="B639" s="15" t="s">
        <v>141</v>
      </c>
      <c r="C639" s="14">
        <v>0.9</v>
      </c>
    </row>
    <row r="640">
      <c r="A640" s="14">
        <v>2025.0</v>
      </c>
      <c r="B640" s="15" t="s">
        <v>142</v>
      </c>
      <c r="C640" s="14">
        <v>8.5</v>
      </c>
    </row>
    <row r="641">
      <c r="A641" s="14">
        <v>2025.0</v>
      </c>
      <c r="B641" s="15" t="s">
        <v>100</v>
      </c>
      <c r="C641" s="14">
        <v>0.35</v>
      </c>
    </row>
    <row r="642">
      <c r="A642" s="14">
        <v>2025.0</v>
      </c>
      <c r="B642" s="15" t="s">
        <v>23</v>
      </c>
      <c r="C642" s="14">
        <v>100.0</v>
      </c>
    </row>
    <row r="643">
      <c r="A643" s="14">
        <v>2025.0</v>
      </c>
      <c r="B643" s="15" t="s">
        <v>136</v>
      </c>
      <c r="C643" s="14">
        <v>74.85</v>
      </c>
    </row>
    <row r="644">
      <c r="A644" s="14">
        <v>2025.0</v>
      </c>
      <c r="B644" s="15" t="s">
        <v>137</v>
      </c>
      <c r="C644" s="14">
        <v>74.85</v>
      </c>
    </row>
    <row r="645">
      <c r="A645" s="14">
        <v>2025.0</v>
      </c>
      <c r="B645" s="15" t="s">
        <v>104</v>
      </c>
      <c r="C645" s="14">
        <v>198.25</v>
      </c>
    </row>
    <row r="646">
      <c r="A646" s="14">
        <v>2025.0</v>
      </c>
      <c r="B646" s="15" t="s">
        <v>9</v>
      </c>
      <c r="C646" s="14">
        <v>25.58</v>
      </c>
    </row>
    <row r="647">
      <c r="A647" s="14">
        <v>2025.0</v>
      </c>
      <c r="B647" s="15" t="s">
        <v>61</v>
      </c>
      <c r="C647" s="14">
        <v>648.0</v>
      </c>
    </row>
    <row r="648">
      <c r="A648" s="14">
        <v>2025.0</v>
      </c>
      <c r="B648" s="15" t="s">
        <v>31</v>
      </c>
      <c r="C648" s="14">
        <v>160.0</v>
      </c>
    </row>
    <row r="649">
      <c r="A649" s="14"/>
      <c r="B649" s="15"/>
      <c r="C649" s="14"/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16.88"/>
    <col customWidth="1" min="3" max="3" width="11.13"/>
    <col customWidth="1" min="4" max="4" width="17.75"/>
    <col customWidth="1" min="5" max="5" width="19.25"/>
    <col customWidth="1" min="6" max="6" width="4.63"/>
    <col customWidth="1" min="7" max="7" width="8.75"/>
    <col customWidth="1" min="8" max="8" width="19.0"/>
    <col customWidth="1" min="9" max="9" width="7.88"/>
    <col customWidth="1" min="10" max="10" width="10.5"/>
    <col customWidth="1" min="11" max="11" width="15.88"/>
    <col customWidth="1" min="12" max="26" width="7.63"/>
  </cols>
  <sheetData>
    <row r="1">
      <c r="A1" s="13" t="s">
        <v>138</v>
      </c>
      <c r="B1" s="13" t="s">
        <v>170</v>
      </c>
      <c r="C1" s="13" t="s">
        <v>171</v>
      </c>
      <c r="D1" s="16" t="s">
        <v>172</v>
      </c>
      <c r="E1" s="17" t="s">
        <v>173</v>
      </c>
      <c r="F1" s="13" t="s">
        <v>174</v>
      </c>
      <c r="G1" s="13" t="s">
        <v>175</v>
      </c>
      <c r="H1" s="17" t="s">
        <v>176</v>
      </c>
      <c r="I1" s="13" t="s">
        <v>177</v>
      </c>
      <c r="J1" s="13" t="s">
        <v>140</v>
      </c>
      <c r="K1" s="13" t="s">
        <v>178</v>
      </c>
    </row>
    <row r="2" hidden="1">
      <c r="A2" s="14">
        <v>2025.0</v>
      </c>
      <c r="B2" s="15" t="s">
        <v>37</v>
      </c>
      <c r="C2" s="14">
        <v>13.34</v>
      </c>
      <c r="D2" s="14">
        <v>1.9107E9</v>
      </c>
      <c r="E2" s="18">
        <v>1.28731E11</v>
      </c>
      <c r="F2" s="14">
        <v>0.33</v>
      </c>
      <c r="G2" s="14">
        <v>0.6</v>
      </c>
      <c r="H2" s="18">
        <v>2.5488738E10</v>
      </c>
      <c r="I2" s="14">
        <v>0.35</v>
      </c>
      <c r="J2" s="14"/>
      <c r="K2" s="14">
        <f>'Индекс с Дивидендами'!$J2/'Индекс с Дивидендами'!$C2</f>
        <v>0</v>
      </c>
    </row>
    <row r="3">
      <c r="A3" s="14">
        <v>2025.0</v>
      </c>
      <c r="B3" s="15" t="s">
        <v>9</v>
      </c>
      <c r="C3" s="14">
        <v>72.25</v>
      </c>
      <c r="D3" s="19">
        <v>3.310209141E9</v>
      </c>
      <c r="E3" s="18">
        <v>4.783252208745E11</v>
      </c>
      <c r="F3" s="14">
        <v>0.5</v>
      </c>
      <c r="G3" s="14">
        <v>1.0</v>
      </c>
      <c r="H3" s="18">
        <v>2.3916261043725E11</v>
      </c>
      <c r="I3" s="14">
        <v>3.3</v>
      </c>
      <c r="J3" s="14">
        <v>25.58</v>
      </c>
      <c r="K3" s="20">
        <f>'Индекс с Дивидендами'!$J3/'Индекс с Дивидендами'!$C3</f>
        <v>0.3540484429</v>
      </c>
    </row>
    <row r="4" hidden="1">
      <c r="A4" s="14">
        <v>2025.0</v>
      </c>
      <c r="B4" s="15" t="s">
        <v>7</v>
      </c>
      <c r="C4" s="14">
        <v>41.42</v>
      </c>
      <c r="D4" s="14">
        <v>0.0</v>
      </c>
      <c r="E4" s="18">
        <v>3.050568763946E11</v>
      </c>
      <c r="F4" s="14">
        <v>0.34</v>
      </c>
      <c r="G4" s="14">
        <v>0.4</v>
      </c>
      <c r="H4" s="18">
        <v>4.148773518967E10</v>
      </c>
      <c r="I4" s="14">
        <v>0.57</v>
      </c>
      <c r="J4" s="14"/>
      <c r="K4" s="14">
        <f>'Индекс с Дивидендами'!$J4/'Индекс с Дивидендами'!$C4</f>
        <v>0</v>
      </c>
    </row>
    <row r="5">
      <c r="A5" s="14">
        <v>2025.0</v>
      </c>
      <c r="B5" s="15" t="s">
        <v>61</v>
      </c>
      <c r="C5" s="14">
        <v>3011.0</v>
      </c>
      <c r="D5" s="14">
        <v>0.0</v>
      </c>
      <c r="E5" s="18">
        <v>8.17705917592E11</v>
      </c>
      <c r="F5" s="14">
        <v>0.29</v>
      </c>
      <c r="G5" s="14">
        <v>1.0</v>
      </c>
      <c r="H5" s="18">
        <v>2.3713471610168E11</v>
      </c>
      <c r="I5" s="14">
        <v>3.27</v>
      </c>
      <c r="J5" s="14">
        <v>648.0</v>
      </c>
      <c r="K5" s="20">
        <f>'Индекс с Дивидендами'!$J5/'Индекс с Дивидендами'!$C5</f>
        <v>0.2152108934</v>
      </c>
    </row>
    <row r="6" hidden="1">
      <c r="A6" s="14">
        <v>2025.0</v>
      </c>
      <c r="B6" s="15" t="s">
        <v>4</v>
      </c>
      <c r="C6" s="14">
        <v>6.09</v>
      </c>
      <c r="D6" s="14">
        <v>0.0</v>
      </c>
      <c r="E6" s="18">
        <v>2.0358693308394E11</v>
      </c>
      <c r="F6" s="14">
        <v>0.22</v>
      </c>
      <c r="G6" s="14">
        <v>0.7</v>
      </c>
      <c r="H6" s="18">
        <v>3.135238769493E10</v>
      </c>
      <c r="I6" s="14">
        <v>0.43</v>
      </c>
      <c r="J6" s="14"/>
      <c r="K6" s="14">
        <f>'Индекс с Дивидендами'!$J6/'Индекс с Дивидендами'!$C6</f>
        <v>0</v>
      </c>
    </row>
    <row r="7" hidden="1">
      <c r="A7" s="14">
        <v>2025.0</v>
      </c>
      <c r="B7" s="15" t="s">
        <v>96</v>
      </c>
      <c r="C7" s="14">
        <v>966.6</v>
      </c>
      <c r="D7" s="14">
        <v>0.0</v>
      </c>
      <c r="E7" s="18">
        <v>8.09738856756E11</v>
      </c>
      <c r="F7" s="14">
        <v>0.23</v>
      </c>
      <c r="G7" s="14">
        <v>0.4</v>
      </c>
      <c r="H7" s="18">
        <v>7.449597482155E10</v>
      </c>
      <c r="I7" s="14">
        <v>1.03</v>
      </c>
      <c r="J7" s="14"/>
      <c r="K7" s="14">
        <f>'Индекс с Дивидендами'!$J7/'Индекс с Дивидендами'!$C7</f>
        <v>0</v>
      </c>
    </row>
    <row r="8">
      <c r="A8" s="14">
        <v>2025.0</v>
      </c>
      <c r="B8" s="15" t="s">
        <v>142</v>
      </c>
      <c r="C8" s="14">
        <v>41.8</v>
      </c>
      <c r="D8" s="14">
        <v>0.0</v>
      </c>
      <c r="E8" s="18">
        <v>3.21943526223E11</v>
      </c>
      <c r="F8" s="14">
        <v>0.73</v>
      </c>
      <c r="G8" s="14">
        <v>0.5</v>
      </c>
      <c r="H8" s="18">
        <v>1.175093870714E11</v>
      </c>
      <c r="I8" s="14">
        <v>1.62</v>
      </c>
      <c r="J8" s="14">
        <v>8.5</v>
      </c>
      <c r="K8" s="20">
        <f>'Индекс с Дивидендами'!$J8/'Индекс с Дивидендами'!$C8</f>
        <v>0.2033492823</v>
      </c>
    </row>
    <row r="9" hidden="1">
      <c r="A9" s="14">
        <v>2025.0</v>
      </c>
      <c r="B9" s="15" t="s">
        <v>55</v>
      </c>
      <c r="C9" s="14">
        <v>1858.2</v>
      </c>
      <c r="D9" s="14">
        <v>0.0</v>
      </c>
      <c r="E9" s="18">
        <v>3.342692157876E11</v>
      </c>
      <c r="F9" s="14">
        <v>0.1</v>
      </c>
      <c r="G9" s="14">
        <v>1.0</v>
      </c>
      <c r="H9" s="18">
        <v>3.342692157876E10</v>
      </c>
      <c r="I9" s="14">
        <v>0.46</v>
      </c>
      <c r="J9" s="14"/>
      <c r="K9" s="14">
        <f>'Индекс с Дивидендами'!$J9/'Индекс с Дивидендами'!$C9</f>
        <v>0</v>
      </c>
    </row>
    <row r="10" hidden="1">
      <c r="A10" s="14">
        <v>2025.0</v>
      </c>
      <c r="B10" s="15" t="s">
        <v>29</v>
      </c>
      <c r="C10" s="14">
        <v>454.2</v>
      </c>
      <c r="D10" s="14">
        <v>0.0</v>
      </c>
      <c r="E10" s="18">
        <v>2.901651685632E11</v>
      </c>
      <c r="F10" s="14">
        <v>0.14</v>
      </c>
      <c r="G10" s="14">
        <v>0.6</v>
      </c>
      <c r="H10" s="18">
        <v>2.437387415931E10</v>
      </c>
      <c r="I10" s="14">
        <v>0.34</v>
      </c>
      <c r="J10" s="14"/>
      <c r="K10" s="14">
        <f>'Индекс с Дивидендами'!$J10/'Индекс с Дивидендами'!$C10</f>
        <v>0</v>
      </c>
    </row>
    <row r="11" hidden="1">
      <c r="A11" s="14">
        <v>2025.0</v>
      </c>
      <c r="B11" s="15" t="s">
        <v>134</v>
      </c>
      <c r="C11" s="14">
        <v>75.88</v>
      </c>
      <c r="D11" s="14">
        <v>0.0</v>
      </c>
      <c r="E11" s="18">
        <v>1.8021453720788E11</v>
      </c>
      <c r="F11" s="14">
        <v>0.16</v>
      </c>
      <c r="G11" s="14">
        <v>0.7</v>
      </c>
      <c r="H11" s="18">
        <v>2.018402816728E10</v>
      </c>
      <c r="I11" s="14">
        <v>0.28</v>
      </c>
      <c r="J11" s="14"/>
      <c r="K11" s="14">
        <f>'Индекс с Дивидендами'!$J11/'Индекс с Дивидендами'!$C11</f>
        <v>0</v>
      </c>
    </row>
    <row r="12" hidden="1">
      <c r="A12" s="14">
        <v>2025.0</v>
      </c>
      <c r="B12" s="15" t="s">
        <v>43</v>
      </c>
      <c r="C12" s="14">
        <v>125.57</v>
      </c>
      <c r="D12" s="14">
        <v>0.0</v>
      </c>
      <c r="E12" s="18">
        <v>2.972683014853E12</v>
      </c>
      <c r="F12" s="14">
        <v>0.47</v>
      </c>
      <c r="G12" s="14">
        <v>0.5</v>
      </c>
      <c r="H12" s="18">
        <v>6.9858050849046E11</v>
      </c>
      <c r="I12" s="14">
        <v>9.65</v>
      </c>
      <c r="J12" s="14"/>
      <c r="K12" s="14">
        <f>'Индекс с Дивидендами'!$J12/'Индекс с Дивидендами'!$C12</f>
        <v>0</v>
      </c>
    </row>
    <row r="13" hidden="1">
      <c r="A13" s="14">
        <v>2025.0</v>
      </c>
      <c r="B13" s="15" t="s">
        <v>45</v>
      </c>
      <c r="C13" s="14">
        <v>149.02</v>
      </c>
      <c r="D13" s="14">
        <v>0.0</v>
      </c>
      <c r="E13" s="18">
        <v>2.277970342094E12</v>
      </c>
      <c r="F13" s="14">
        <v>0.33</v>
      </c>
      <c r="G13" s="14">
        <v>0.4</v>
      </c>
      <c r="H13" s="18">
        <v>3.0069208515641E11</v>
      </c>
      <c r="I13" s="14">
        <v>4.15</v>
      </c>
      <c r="J13" s="14"/>
      <c r="K13" s="14">
        <f>'Индекс с Дивидендами'!$J13/'Индекс с Дивидендами'!$C13</f>
        <v>0</v>
      </c>
    </row>
    <row r="14">
      <c r="A14" s="14">
        <v>2025.0</v>
      </c>
      <c r="B14" s="15" t="s">
        <v>27</v>
      </c>
      <c r="C14" s="14">
        <v>606.8</v>
      </c>
      <c r="D14" s="14">
        <v>0.0</v>
      </c>
      <c r="E14" s="18">
        <v>4.7130453332E10</v>
      </c>
      <c r="F14" s="14">
        <v>0.37</v>
      </c>
      <c r="G14" s="14">
        <v>1.0</v>
      </c>
      <c r="H14" s="18">
        <v>1.743826773284E10</v>
      </c>
      <c r="I14" s="14">
        <v>0.24</v>
      </c>
      <c r="J14" s="14">
        <v>104.0</v>
      </c>
      <c r="K14" s="20">
        <f>'Индекс с Дивидендами'!$J14/'Индекс с Дивидендами'!$C14</f>
        <v>0.1713909031</v>
      </c>
    </row>
    <row r="15">
      <c r="A15" s="14">
        <v>2025.0</v>
      </c>
      <c r="B15" s="15" t="s">
        <v>74</v>
      </c>
      <c r="C15" s="14">
        <v>213.65</v>
      </c>
      <c r="D15" s="14">
        <v>0.0</v>
      </c>
      <c r="E15" s="18">
        <v>4.2695422349875E11</v>
      </c>
      <c r="F15" s="14">
        <v>0.41</v>
      </c>
      <c r="G15" s="14">
        <v>0.4</v>
      </c>
      <c r="H15" s="18">
        <v>7.00204926538E10</v>
      </c>
      <c r="I15" s="14">
        <v>0.97</v>
      </c>
      <c r="J15" s="14">
        <v>35.0</v>
      </c>
      <c r="K15" s="20">
        <f>'Индекс с Дивидендами'!$J15/'Индекс с Дивидендами'!$C15</f>
        <v>0.1638193307</v>
      </c>
    </row>
    <row r="16">
      <c r="A16" s="14">
        <v>2025.0</v>
      </c>
      <c r="B16" s="15" t="s">
        <v>76</v>
      </c>
      <c r="C16" s="14">
        <v>173.88</v>
      </c>
      <c r="D16" s="14">
        <v>0.0</v>
      </c>
      <c r="E16" s="18">
        <v>3.9582068551704E11</v>
      </c>
      <c r="F16" s="14">
        <v>0.65</v>
      </c>
      <c r="G16" s="14">
        <v>0.3</v>
      </c>
      <c r="H16" s="18">
        <v>7.718503367582E10</v>
      </c>
      <c r="I16" s="14">
        <v>1.07</v>
      </c>
      <c r="J16" s="14">
        <v>26.11</v>
      </c>
      <c r="K16" s="20">
        <f>'Индекс с Дивидендами'!$J16/'Индекс с Дивидендами'!$C16</f>
        <v>0.1501610306</v>
      </c>
    </row>
    <row r="17" hidden="1">
      <c r="A17" s="14">
        <v>2025.0</v>
      </c>
      <c r="B17" s="15" t="s">
        <v>69</v>
      </c>
      <c r="C17" s="14">
        <v>28.63</v>
      </c>
      <c r="D17" s="14">
        <v>1.3409196E9</v>
      </c>
      <c r="E17" s="18">
        <v>3.199210679E11</v>
      </c>
      <c r="F17" s="14">
        <v>0.2</v>
      </c>
      <c r="G17" s="14">
        <v>0.6</v>
      </c>
      <c r="H17" s="18">
        <v>3.8390528148E10</v>
      </c>
      <c r="I17" s="14">
        <v>0.53</v>
      </c>
      <c r="J17" s="14"/>
      <c r="K17" s="14">
        <f>'Индекс с Дивидендами'!$J17/'Индекс с Дивидендами'!$C17</f>
        <v>0</v>
      </c>
    </row>
    <row r="18">
      <c r="A18" s="14">
        <v>2025.0</v>
      </c>
      <c r="B18" s="15" t="s">
        <v>33</v>
      </c>
      <c r="C18" s="14">
        <v>309.0</v>
      </c>
      <c r="D18" s="14">
        <v>0.0</v>
      </c>
      <c r="E18" s="18">
        <v>1.37618872989E11</v>
      </c>
      <c r="F18" s="14">
        <v>0.28</v>
      </c>
      <c r="G18" s="14">
        <v>0.6</v>
      </c>
      <c r="H18" s="18">
        <v>2.311997066215E10</v>
      </c>
      <c r="I18" s="14">
        <v>0.32</v>
      </c>
      <c r="J18" s="14">
        <v>46.33</v>
      </c>
      <c r="K18" s="20">
        <f>'Индекс с Дивидендами'!$J18/'Индекс с Дивидендами'!$C18</f>
        <v>0.1499352751</v>
      </c>
    </row>
    <row r="19">
      <c r="A19" s="14">
        <v>2025.0</v>
      </c>
      <c r="B19" s="15" t="s">
        <v>104</v>
      </c>
      <c r="C19" s="14">
        <v>1381.4</v>
      </c>
      <c r="D19" s="14">
        <v>2.301215E7</v>
      </c>
      <c r="E19" s="18">
        <v>2.147904325E11</v>
      </c>
      <c r="F19" s="14">
        <v>0.37</v>
      </c>
      <c r="G19" s="14">
        <v>0.4</v>
      </c>
      <c r="H19" s="18">
        <v>3.178898401E10</v>
      </c>
      <c r="I19" s="14">
        <v>0.44</v>
      </c>
      <c r="J19" s="14">
        <v>198.25</v>
      </c>
      <c r="K19" s="20">
        <f>'Индекс с Дивидендами'!$J19/'Индекс с Дивидендами'!$C19</f>
        <v>0.1435138266</v>
      </c>
    </row>
    <row r="20" hidden="1">
      <c r="A20" s="14">
        <v>2025.0</v>
      </c>
      <c r="B20" s="15" t="s">
        <v>126</v>
      </c>
      <c r="C20" s="14">
        <v>2.0885</v>
      </c>
      <c r="D20" s="14">
        <v>7.154884746E9</v>
      </c>
      <c r="E20" s="18">
        <v>8.301653773345E10</v>
      </c>
      <c r="F20" s="14">
        <v>0.2</v>
      </c>
      <c r="G20" s="14">
        <v>0.9</v>
      </c>
      <c r="H20" s="18">
        <v>1.494297679202E10</v>
      </c>
      <c r="I20" s="14">
        <v>0.21</v>
      </c>
      <c r="J20" s="14"/>
      <c r="K20" s="14">
        <f>'Индекс с Дивидендами'!$J20/'Индекс с Дивидендами'!$C20</f>
        <v>0</v>
      </c>
    </row>
    <row r="21">
      <c r="A21" s="14">
        <v>2025.0</v>
      </c>
      <c r="B21" s="15" t="s">
        <v>137</v>
      </c>
      <c r="C21" s="14">
        <v>540.7</v>
      </c>
      <c r="D21" s="14">
        <v>1.0325595E8</v>
      </c>
      <c r="E21" s="18">
        <v>7.975784595E10</v>
      </c>
      <c r="F21" s="14">
        <v>1.0</v>
      </c>
      <c r="G21" s="14">
        <v>0.7</v>
      </c>
      <c r="H21" s="18">
        <v>5.5830492165E10</v>
      </c>
      <c r="I21" s="14">
        <v>0.77</v>
      </c>
      <c r="J21" s="14">
        <v>74.85</v>
      </c>
      <c r="K21" s="20">
        <f>'Индекс с Дивидендами'!$J21/'Индекс с Дивидендами'!$C21</f>
        <v>0.1384316627</v>
      </c>
    </row>
    <row r="22" hidden="1">
      <c r="A22" s="14">
        <v>2025.0</v>
      </c>
      <c r="B22" s="15" t="s">
        <v>82</v>
      </c>
      <c r="C22" s="14">
        <v>106.6</v>
      </c>
      <c r="D22" s="14">
        <v>0.0</v>
      </c>
      <c r="E22" s="18">
        <v>6.38878023784E11</v>
      </c>
      <c r="F22" s="14">
        <v>0.21</v>
      </c>
      <c r="G22" s="14">
        <v>0.5</v>
      </c>
      <c r="H22" s="18">
        <v>6.708219249732E10</v>
      </c>
      <c r="I22" s="14">
        <v>0.93</v>
      </c>
      <c r="J22" s="14"/>
      <c r="K22" s="14">
        <f>'Индекс с Дивидендами'!$J22/'Индекс с Дивидендами'!$C22</f>
        <v>0</v>
      </c>
    </row>
    <row r="23">
      <c r="A23" s="14">
        <v>2025.0</v>
      </c>
      <c r="B23" s="15" t="s">
        <v>136</v>
      </c>
      <c r="C23" s="14">
        <v>581.0</v>
      </c>
      <c r="D23" s="14">
        <v>0.0</v>
      </c>
      <c r="E23" s="18">
        <v>1.2658192967E12</v>
      </c>
      <c r="F23" s="14">
        <v>0.32</v>
      </c>
      <c r="G23" s="14">
        <v>0.8</v>
      </c>
      <c r="H23" s="18">
        <v>3.240497399552E11</v>
      </c>
      <c r="I23" s="14">
        <v>4.47</v>
      </c>
      <c r="J23" s="14">
        <v>74.85</v>
      </c>
      <c r="K23" s="20">
        <f>'Индекс с Дивидендами'!$J23/'Индекс с Дивидендами'!$C23</f>
        <v>0.1288296041</v>
      </c>
    </row>
    <row r="24">
      <c r="A24" s="14">
        <v>2025.0</v>
      </c>
      <c r="B24" s="15" t="s">
        <v>132</v>
      </c>
      <c r="C24" s="14">
        <v>408.65</v>
      </c>
      <c r="D24" s="14">
        <v>0.0</v>
      </c>
      <c r="E24" s="18">
        <v>4.33094536491705E12</v>
      </c>
      <c r="F24" s="14">
        <v>0.11</v>
      </c>
      <c r="G24" s="14">
        <v>0.4</v>
      </c>
      <c r="H24" s="18">
        <v>1.9056159605635E11</v>
      </c>
      <c r="I24" s="14">
        <v>2.63</v>
      </c>
      <c r="J24" s="14">
        <v>51.15</v>
      </c>
      <c r="K24" s="20">
        <f>'Индекс с Дивидендами'!$J24/'Индекс с Дивидендами'!$C24</f>
        <v>0.1251682369</v>
      </c>
    </row>
    <row r="25">
      <c r="A25" s="14">
        <v>2025.0</v>
      </c>
      <c r="B25" s="15" t="s">
        <v>94</v>
      </c>
      <c r="C25" s="14">
        <v>299.74</v>
      </c>
      <c r="D25" s="14">
        <v>5.573468E8</v>
      </c>
      <c r="E25" s="18">
        <v>2.9974E11</v>
      </c>
      <c r="F25" s="14">
        <v>1.0</v>
      </c>
      <c r="G25" s="14">
        <v>0.5573468</v>
      </c>
      <c r="H25" s="18">
        <v>1.67059129832E11</v>
      </c>
      <c r="I25" s="14">
        <v>2.31</v>
      </c>
      <c r="J25" s="14">
        <v>34.84</v>
      </c>
      <c r="K25" s="20">
        <f>'Индекс с Дивидендами'!$J25/'Индекс с Дивидендами'!$C25</f>
        <v>0.1162340695</v>
      </c>
    </row>
    <row r="26" hidden="1">
      <c r="A26" s="14">
        <v>2025.0</v>
      </c>
      <c r="B26" s="15" t="s">
        <v>86</v>
      </c>
      <c r="C26" s="14">
        <v>490.0</v>
      </c>
      <c r="D26" s="14">
        <v>0.0</v>
      </c>
      <c r="E26" s="18">
        <v>3.2364369856E11</v>
      </c>
      <c r="F26" s="14">
        <v>0.21</v>
      </c>
      <c r="G26" s="14">
        <v>1.0</v>
      </c>
      <c r="H26" s="18">
        <v>6.79651766976E10</v>
      </c>
      <c r="I26" s="14">
        <v>0.94</v>
      </c>
      <c r="J26" s="14"/>
      <c r="K26" s="14">
        <f>'Индекс с Дивидендами'!$J26/'Индекс с Дивидендами'!$C26</f>
        <v>0</v>
      </c>
    </row>
    <row r="27">
      <c r="A27" s="14">
        <v>2025.0</v>
      </c>
      <c r="B27" s="15" t="s">
        <v>93</v>
      </c>
      <c r="C27" s="14">
        <v>300.28</v>
      </c>
      <c r="D27" s="14">
        <v>0.0</v>
      </c>
      <c r="E27" s="18">
        <v>6.48212874544E12</v>
      </c>
      <c r="F27" s="14">
        <v>0.48</v>
      </c>
      <c r="G27" s="14">
        <v>0.2786734</v>
      </c>
      <c r="H27" s="18">
        <v>8.6707049123015E11</v>
      </c>
      <c r="I27" s="14">
        <v>11.97</v>
      </c>
      <c r="J27" s="14">
        <v>34.84</v>
      </c>
      <c r="K27" s="20">
        <f>'Индекс с Дивидендами'!$J27/'Индекс с Дивидендами'!$C27</f>
        <v>0.1160250433</v>
      </c>
    </row>
    <row r="28" hidden="1">
      <c r="A28" s="14">
        <v>2025.0</v>
      </c>
      <c r="B28" s="15" t="s">
        <v>51</v>
      </c>
      <c r="C28" s="14">
        <v>997.0</v>
      </c>
      <c r="D28" s="14">
        <v>1.709136E7</v>
      </c>
      <c r="E28" s="18">
        <v>7.1000358E10</v>
      </c>
      <c r="F28" s="14">
        <v>0.24</v>
      </c>
      <c r="G28" s="14">
        <v>1.0</v>
      </c>
      <c r="H28" s="18">
        <v>1.704008592E10</v>
      </c>
      <c r="I28" s="14">
        <v>0.24</v>
      </c>
      <c r="J28" s="14"/>
      <c r="K28" s="14">
        <f>'Индекс с Дивидендами'!$J28/'Индекс с Дивидендами'!$C28</f>
        <v>0</v>
      </c>
    </row>
    <row r="29">
      <c r="A29" s="14">
        <v>2025.0</v>
      </c>
      <c r="B29" s="15" t="s">
        <v>59</v>
      </c>
      <c r="C29" s="14">
        <v>3.1125</v>
      </c>
      <c r="D29" s="14">
        <v>2.33856E10</v>
      </c>
      <c r="E29" s="18">
        <v>3.24945E11</v>
      </c>
      <c r="F29" s="14">
        <v>0.32</v>
      </c>
      <c r="G29" s="14">
        <v>0.7</v>
      </c>
      <c r="H29" s="18">
        <v>7.278768E10</v>
      </c>
      <c r="I29" s="14">
        <v>1.0</v>
      </c>
      <c r="J29" s="14">
        <v>0.3538</v>
      </c>
      <c r="K29" s="20">
        <f>'Индекс с Дивидендами'!$J29/'Индекс с Дивидендами'!$C29</f>
        <v>0.1136706827</v>
      </c>
    </row>
    <row r="30">
      <c r="A30" s="14">
        <v>2025.0</v>
      </c>
      <c r="B30" s="15" t="s">
        <v>53</v>
      </c>
      <c r="C30" s="14">
        <v>95.9</v>
      </c>
      <c r="D30" s="14">
        <v>0.0</v>
      </c>
      <c r="E30" s="18">
        <v>5.3411771602E10</v>
      </c>
      <c r="F30" s="14">
        <v>0.3</v>
      </c>
      <c r="G30" s="14">
        <v>0.9</v>
      </c>
      <c r="H30" s="18">
        <v>1.442117833254E10</v>
      </c>
      <c r="I30" s="14">
        <v>0.2</v>
      </c>
      <c r="J30" s="14">
        <v>10.5</v>
      </c>
      <c r="K30" s="20">
        <f>'Индекс с Дивидендами'!$J30/'Индекс с Дивидендами'!$C30</f>
        <v>0.1094890511</v>
      </c>
    </row>
    <row r="31">
      <c r="A31" s="14">
        <v>2025.0</v>
      </c>
      <c r="B31" s="15" t="s">
        <v>78</v>
      </c>
      <c r="C31" s="14">
        <v>5880.5</v>
      </c>
      <c r="D31" s="14">
        <v>0.0</v>
      </c>
      <c r="E31" s="18">
        <v>4.074397113441E12</v>
      </c>
      <c r="F31" s="14">
        <v>0.55</v>
      </c>
      <c r="G31" s="14">
        <v>0.49729</v>
      </c>
      <c r="H31" s="18">
        <v>1.11438631729846E12</v>
      </c>
      <c r="I31" s="14">
        <v>15.39</v>
      </c>
      <c r="J31" s="14">
        <v>541.0</v>
      </c>
      <c r="K31" s="20">
        <f>'Индекс с Дивидендами'!$J31/'Индекс с Дивидендами'!$C31</f>
        <v>0.09199897968</v>
      </c>
    </row>
    <row r="32" hidden="1">
      <c r="A32" s="14">
        <v>2025.0</v>
      </c>
      <c r="B32" s="15" t="s">
        <v>21</v>
      </c>
      <c r="C32" s="14">
        <v>33.91</v>
      </c>
      <c r="D32" s="14">
        <v>0.0</v>
      </c>
      <c r="E32" s="18">
        <v>5.1519513397042E11</v>
      </c>
      <c r="F32" s="14">
        <v>0.18</v>
      </c>
      <c r="G32" s="14">
        <v>0.7</v>
      </c>
      <c r="H32" s="18">
        <v>6.491458688027E10</v>
      </c>
      <c r="I32" s="14">
        <v>0.9</v>
      </c>
      <c r="J32" s="14"/>
      <c r="K32" s="14">
        <f>'Индекс с Дивидендами'!$J32/'Индекс с Дивидендами'!$C32</f>
        <v>0</v>
      </c>
    </row>
    <row r="33">
      <c r="A33" s="14">
        <v>2025.0</v>
      </c>
      <c r="B33" s="15" t="s">
        <v>39</v>
      </c>
      <c r="C33" s="14">
        <v>57.7</v>
      </c>
      <c r="D33" s="14">
        <v>7.95154243E8</v>
      </c>
      <c r="E33" s="18">
        <v>2.294019991055E11</v>
      </c>
      <c r="F33" s="14">
        <v>0.25</v>
      </c>
      <c r="G33" s="14">
        <v>0.8</v>
      </c>
      <c r="H33" s="18">
        <v>4.58803998211E10</v>
      </c>
      <c r="I33" s="14">
        <v>0.63</v>
      </c>
      <c r="J33" s="14">
        <v>5.27</v>
      </c>
      <c r="K33" s="20">
        <f>'Индекс с Дивидендами'!$J33/'Индекс с Дивидендами'!$C33</f>
        <v>0.09133448873</v>
      </c>
    </row>
    <row r="34">
      <c r="A34" s="14">
        <v>2025.0</v>
      </c>
      <c r="B34" s="15" t="s">
        <v>25</v>
      </c>
      <c r="C34" s="14">
        <v>2907.0</v>
      </c>
      <c r="D34" s="14">
        <v>0.0</v>
      </c>
      <c r="E34" s="18">
        <v>1.37166556626E11</v>
      </c>
      <c r="F34" s="14">
        <v>0.42</v>
      </c>
      <c r="G34" s="14">
        <v>1.0</v>
      </c>
      <c r="H34" s="18">
        <v>5.760995378292E10</v>
      </c>
      <c r="I34" s="14">
        <v>0.8</v>
      </c>
      <c r="J34" s="14">
        <v>233.0</v>
      </c>
      <c r="K34" s="20">
        <f>'Индекс с Дивидендами'!$J34/'Индекс с Дивидендами'!$C34</f>
        <v>0.08015135879</v>
      </c>
    </row>
    <row r="35">
      <c r="A35" s="14">
        <v>2025.0</v>
      </c>
      <c r="B35" s="15" t="s">
        <v>88</v>
      </c>
      <c r="C35" s="14">
        <v>2401.6</v>
      </c>
      <c r="D35" s="14">
        <v>0.0</v>
      </c>
      <c r="E35" s="18">
        <v>3.2678427128016E12</v>
      </c>
      <c r="F35" s="14">
        <v>0.22</v>
      </c>
      <c r="G35" s="14">
        <v>0.4</v>
      </c>
      <c r="H35" s="18">
        <v>2.8757015872654E11</v>
      </c>
      <c r="I35" s="14">
        <v>3.97</v>
      </c>
      <c r="J35" s="14">
        <v>179.85</v>
      </c>
      <c r="K35" s="20">
        <f>'Индекс с Дивидендами'!$J35/'Индекс с Дивидендами'!$C35</f>
        <v>0.07488757495</v>
      </c>
    </row>
    <row r="36">
      <c r="A36" s="14">
        <v>2025.0</v>
      </c>
      <c r="B36" s="15" t="s">
        <v>112</v>
      </c>
      <c r="C36" s="14">
        <v>6371.0</v>
      </c>
      <c r="D36" s="14">
        <v>6734000.0</v>
      </c>
      <c r="E36" s="18">
        <v>8.250445E11</v>
      </c>
      <c r="F36" s="14">
        <v>0.26</v>
      </c>
      <c r="G36" s="14">
        <v>0.2</v>
      </c>
      <c r="H36" s="18">
        <v>4.2902314E10</v>
      </c>
      <c r="I36" s="14">
        <v>0.59</v>
      </c>
      <c r="J36" s="14">
        <v>459.0</v>
      </c>
      <c r="K36" s="20">
        <f>'Индекс с Дивидендами'!$J36/'Индекс с Дивидендами'!$C36</f>
        <v>0.07204520483</v>
      </c>
    </row>
    <row r="37">
      <c r="A37" s="14">
        <v>2025.0</v>
      </c>
      <c r="B37" s="15" t="s">
        <v>130</v>
      </c>
      <c r="C37" s="14">
        <v>1188.0</v>
      </c>
      <c r="D37" s="14">
        <v>2.55049704E8</v>
      </c>
      <c r="E37" s="18">
        <v>3.607131528E12</v>
      </c>
      <c r="F37" s="14">
        <v>0.21</v>
      </c>
      <c r="G37" s="14">
        <v>0.4</v>
      </c>
      <c r="H37" s="18">
        <v>3.02999048352E11</v>
      </c>
      <c r="I37" s="14">
        <v>4.18</v>
      </c>
      <c r="J37" s="14">
        <v>82.15</v>
      </c>
      <c r="K37" s="20">
        <f>'Индекс с Дивидендами'!$J37/'Индекс с Дивидендами'!$C37</f>
        <v>0.06914983165</v>
      </c>
    </row>
    <row r="38">
      <c r="A38" s="14">
        <v>2025.0</v>
      </c>
      <c r="B38" s="15" t="s">
        <v>11</v>
      </c>
      <c r="C38" s="14">
        <v>1497.8</v>
      </c>
      <c r="D38" s="14">
        <v>0.0</v>
      </c>
      <c r="E38" s="18">
        <v>1.12522239978E11</v>
      </c>
      <c r="F38" s="14">
        <v>0.27</v>
      </c>
      <c r="G38" s="14">
        <v>0.9</v>
      </c>
      <c r="H38" s="18">
        <v>2.734290431465E10</v>
      </c>
      <c r="I38" s="14">
        <v>0.38</v>
      </c>
      <c r="J38" s="14">
        <v>64.0</v>
      </c>
      <c r="K38" s="20">
        <f>'Индекс с Дивидендами'!$J38/'Индекс с Дивидендами'!$C38</f>
        <v>0.04272933636</v>
      </c>
    </row>
    <row r="39">
      <c r="A39" s="14">
        <v>2025.0</v>
      </c>
      <c r="B39" s="15" t="s">
        <v>90</v>
      </c>
      <c r="C39" s="14">
        <v>63.99</v>
      </c>
      <c r="D39" s="14">
        <v>0.0</v>
      </c>
      <c r="E39" s="18">
        <v>2.1007903747671E11</v>
      </c>
      <c r="F39" s="14">
        <v>0.29</v>
      </c>
      <c r="G39" s="14">
        <v>0.7</v>
      </c>
      <c r="H39" s="18">
        <v>4.264604460777E10</v>
      </c>
      <c r="I39" s="14">
        <v>0.59</v>
      </c>
      <c r="J39" s="14">
        <v>2.71</v>
      </c>
      <c r="K39" s="20">
        <f>'Индекс с Дивидендами'!$J39/'Индекс с Дивидендами'!$C39</f>
        <v>0.04235036724</v>
      </c>
    </row>
    <row r="40">
      <c r="A40" s="14">
        <v>2025.0</v>
      </c>
      <c r="B40" s="15" t="s">
        <v>141</v>
      </c>
      <c r="C40" s="14">
        <v>21.79</v>
      </c>
      <c r="D40" s="14">
        <v>0.0</v>
      </c>
      <c r="E40" s="18">
        <v>7.7846942462195E11</v>
      </c>
      <c r="F40" s="14">
        <v>0.25</v>
      </c>
      <c r="G40" s="14">
        <v>0.7</v>
      </c>
      <c r="H40" s="18">
        <v>1.3623214930884E11</v>
      </c>
      <c r="I40" s="14">
        <v>1.88</v>
      </c>
      <c r="J40" s="14">
        <v>0.9</v>
      </c>
      <c r="K40" s="20">
        <f>'Индекс с Дивидендами'!$J40/'Индекс с Дивидендами'!$C40</f>
        <v>0.04130335016</v>
      </c>
    </row>
    <row r="41">
      <c r="A41" s="14">
        <v>2025.0</v>
      </c>
      <c r="B41" s="15" t="s">
        <v>31</v>
      </c>
      <c r="C41" s="14">
        <v>4582.5</v>
      </c>
      <c r="D41" s="14">
        <v>0.0</v>
      </c>
      <c r="E41" s="18">
        <v>1.8022096371825E12</v>
      </c>
      <c r="F41" s="14">
        <v>0.3</v>
      </c>
      <c r="G41" s="14">
        <v>1.0</v>
      </c>
      <c r="H41" s="18">
        <v>5.4066289115475E11</v>
      </c>
      <c r="I41" s="14">
        <v>7.46</v>
      </c>
      <c r="J41" s="14">
        <v>160.0</v>
      </c>
      <c r="K41" s="20">
        <f>'Индекс с Дивидендами'!$J41/'Индекс с Дивидендами'!$C41</f>
        <v>0.03491543917</v>
      </c>
    </row>
    <row r="42" hidden="1">
      <c r="A42" s="14">
        <v>2025.0</v>
      </c>
      <c r="B42" s="15" t="s">
        <v>179</v>
      </c>
      <c r="C42" s="14">
        <v>0.5476</v>
      </c>
      <c r="D42" s="14">
        <v>0.0</v>
      </c>
      <c r="E42" s="18">
        <v>1.2199369774088E11</v>
      </c>
      <c r="F42" s="14">
        <v>0.11</v>
      </c>
      <c r="G42" s="14">
        <v>1.0</v>
      </c>
      <c r="H42" s="18">
        <v>1.34193067515E10</v>
      </c>
      <c r="I42" s="14">
        <v>0.19</v>
      </c>
      <c r="J42" s="14"/>
      <c r="K42" s="14">
        <f>'Индекс с Дивидендами'!$J42/'Индекс с Дивидендами'!$C42</f>
        <v>0</v>
      </c>
    </row>
    <row r="43" hidden="1">
      <c r="A43" s="14">
        <v>2025.0</v>
      </c>
      <c r="B43" s="15" t="s">
        <v>15</v>
      </c>
      <c r="C43" s="14">
        <v>302.3</v>
      </c>
      <c r="D43" s="14">
        <v>0.0</v>
      </c>
      <c r="E43" s="18">
        <v>1.73188933614E11</v>
      </c>
      <c r="F43" s="14">
        <v>0.2</v>
      </c>
      <c r="G43" s="14">
        <v>0.9</v>
      </c>
      <c r="H43" s="18">
        <v>3.117400805052E10</v>
      </c>
      <c r="I43" s="14">
        <v>0.43</v>
      </c>
      <c r="J43" s="14"/>
      <c r="K43" s="14">
        <f>'Индекс с Дивидендами'!$J43/'Индекс с Дивидендами'!$C43</f>
        <v>0</v>
      </c>
    </row>
    <row r="44">
      <c r="A44" s="14">
        <v>2025.0</v>
      </c>
      <c r="B44" s="15" t="s">
        <v>17</v>
      </c>
      <c r="C44" s="14">
        <v>4495.0</v>
      </c>
      <c r="D44" s="14">
        <v>0.0</v>
      </c>
      <c r="E44" s="18">
        <v>9.72779729835E11</v>
      </c>
      <c r="F44" s="14">
        <v>0.33</v>
      </c>
      <c r="G44" s="14">
        <v>0.6</v>
      </c>
      <c r="H44" s="18">
        <v>1.9261038650733E11</v>
      </c>
      <c r="I44" s="14">
        <v>2.66</v>
      </c>
      <c r="J44" s="14">
        <v>143.55</v>
      </c>
      <c r="K44" s="20">
        <f>'Индекс с Дивидендами'!$J44/'Индекс с Дивидендами'!$C44</f>
        <v>0.03193548387</v>
      </c>
    </row>
    <row r="45">
      <c r="A45" s="14">
        <v>2025.0</v>
      </c>
      <c r="B45" s="15" t="s">
        <v>23</v>
      </c>
      <c r="C45" s="14">
        <v>3277.6</v>
      </c>
      <c r="D45" s="14">
        <v>0.0</v>
      </c>
      <c r="E45" s="18">
        <v>8.792974385936E11</v>
      </c>
      <c r="F45" s="14">
        <v>0.56</v>
      </c>
      <c r="G45" s="14">
        <v>0.7</v>
      </c>
      <c r="H45" s="18">
        <v>3.4468459592869E11</v>
      </c>
      <c r="I45" s="14">
        <v>4.76</v>
      </c>
      <c r="J45" s="14">
        <v>100.0</v>
      </c>
      <c r="K45" s="20">
        <f>'Индекс с Дивидендами'!$J45/'Индекс с Дивидендами'!$C45</f>
        <v>0.03051012936</v>
      </c>
    </row>
    <row r="46">
      <c r="A46" s="14">
        <v>2025.0</v>
      </c>
      <c r="B46" s="15" t="s">
        <v>100</v>
      </c>
      <c r="C46" s="14">
        <v>12.665</v>
      </c>
      <c r="D46" s="14">
        <v>0.0</v>
      </c>
      <c r="E46" s="18">
        <v>2.8516803908183E11</v>
      </c>
      <c r="F46" s="14">
        <v>0.13</v>
      </c>
      <c r="G46" s="14">
        <v>1.0</v>
      </c>
      <c r="H46" s="18">
        <v>3.707184508064E10</v>
      </c>
      <c r="I46" s="14">
        <v>0.51</v>
      </c>
      <c r="J46" s="14">
        <v>0.35</v>
      </c>
      <c r="K46" s="20">
        <f>'Индекс с Дивидендами'!$J46/'Индекс с Дивидендами'!$C46</f>
        <v>0.02763521516</v>
      </c>
    </row>
    <row r="47">
      <c r="A47" s="14">
        <v>2024.0</v>
      </c>
      <c r="B47" s="15" t="s">
        <v>25</v>
      </c>
      <c r="C47" s="14">
        <v>3698.0</v>
      </c>
      <c r="D47" s="14">
        <v>0.0</v>
      </c>
      <c r="E47" s="18">
        <v>1.74489826764E11</v>
      </c>
      <c r="F47" s="14">
        <v>0.42</v>
      </c>
      <c r="G47" s="14">
        <v>1.0</v>
      </c>
      <c r="H47" s="18">
        <v>7.328572724088E10</v>
      </c>
      <c r="I47" s="14">
        <v>1.18</v>
      </c>
      <c r="J47" s="14">
        <v>907.0</v>
      </c>
      <c r="K47" s="20">
        <f>'Индекс с Дивидендами'!$J47/'Индекс с Дивидендами'!$C47</f>
        <v>0.2452677123</v>
      </c>
    </row>
    <row r="48" hidden="1">
      <c r="A48" s="14">
        <v>2024.0</v>
      </c>
      <c r="B48" s="15" t="s">
        <v>39</v>
      </c>
      <c r="C48" s="14">
        <v>59.0</v>
      </c>
      <c r="D48" s="14">
        <v>7.95154243E8</v>
      </c>
      <c r="E48" s="18">
        <v>2.34570501685E11</v>
      </c>
      <c r="F48" s="14">
        <v>0.25</v>
      </c>
      <c r="G48" s="14">
        <v>0.8</v>
      </c>
      <c r="H48" s="18">
        <v>4.6914100337E10</v>
      </c>
      <c r="I48" s="14">
        <v>0.75</v>
      </c>
      <c r="J48" s="14"/>
      <c r="K48" s="14">
        <f>'Индекс с Дивидендами'!$J48/'Индекс с Дивидендами'!$C48</f>
        <v>0</v>
      </c>
    </row>
    <row r="49">
      <c r="A49" s="14">
        <v>2024.0</v>
      </c>
      <c r="B49" s="15" t="s">
        <v>96</v>
      </c>
      <c r="C49" s="14">
        <v>1311.0</v>
      </c>
      <c r="D49" s="14">
        <v>0.0</v>
      </c>
      <c r="E49" s="18">
        <v>1.09824916326E12</v>
      </c>
      <c r="F49" s="14">
        <v>0.23</v>
      </c>
      <c r="G49" s="14">
        <v>0.4</v>
      </c>
      <c r="H49" s="18">
        <v>1.0103892301992E11</v>
      </c>
      <c r="I49" s="14">
        <v>1.62</v>
      </c>
      <c r="J49" s="14">
        <v>309.93</v>
      </c>
      <c r="K49" s="20">
        <f>'Индекс с Дивидендами'!$J49/'Индекс с Дивидендами'!$C49</f>
        <v>0.2364073227</v>
      </c>
    </row>
    <row r="50">
      <c r="A50" s="14">
        <v>2024.0</v>
      </c>
      <c r="B50" s="15" t="s">
        <v>142</v>
      </c>
      <c r="C50" s="14">
        <v>60.445</v>
      </c>
      <c r="D50" s="14">
        <v>0.0</v>
      </c>
      <c r="E50" s="18">
        <v>4.6554728331458E11</v>
      </c>
      <c r="F50" s="14">
        <v>0.73</v>
      </c>
      <c r="G50" s="14">
        <v>0.5</v>
      </c>
      <c r="H50" s="18">
        <v>1.6992475840982E11</v>
      </c>
      <c r="I50" s="14">
        <v>2.73</v>
      </c>
      <c r="J50" s="14">
        <v>12.29</v>
      </c>
      <c r="K50" s="20">
        <f>'Индекс с Дивидендами'!$J50/'Индекс с Дивидендами'!$C50</f>
        <v>0.2033253371</v>
      </c>
    </row>
    <row r="51">
      <c r="A51" s="14">
        <v>2024.0</v>
      </c>
      <c r="B51" s="15" t="s">
        <v>134</v>
      </c>
      <c r="C51" s="14">
        <v>98.65</v>
      </c>
      <c r="D51" s="14">
        <v>0.0</v>
      </c>
      <c r="E51" s="18">
        <v>2.3429314833365E11</v>
      </c>
      <c r="F51" s="14">
        <v>0.16</v>
      </c>
      <c r="G51" s="14">
        <v>0.7</v>
      </c>
      <c r="H51" s="18">
        <v>2.624083261337E10</v>
      </c>
      <c r="I51" s="14">
        <v>0.42</v>
      </c>
      <c r="J51" s="14">
        <v>17.59</v>
      </c>
      <c r="K51" s="20">
        <f>'Индекс с Дивидендами'!$J51/'Индекс с Дивидендами'!$C51</f>
        <v>0.1783071465</v>
      </c>
    </row>
    <row r="52" hidden="1">
      <c r="A52" s="14">
        <v>2024.0</v>
      </c>
      <c r="B52" s="15" t="s">
        <v>4</v>
      </c>
      <c r="C52" s="14">
        <v>10.15</v>
      </c>
      <c r="D52" s="14">
        <v>0.0</v>
      </c>
      <c r="E52" s="18">
        <v>3.393115551399E11</v>
      </c>
      <c r="F52" s="14">
        <v>0.22</v>
      </c>
      <c r="G52" s="14">
        <v>0.7</v>
      </c>
      <c r="H52" s="18">
        <v>5.225397949154E10</v>
      </c>
      <c r="I52" s="14">
        <v>0.84</v>
      </c>
      <c r="J52" s="14"/>
      <c r="K52" s="14">
        <f>'Индекс с Дивидендами'!$J52/'Индекс с Дивидендами'!$C52</f>
        <v>0</v>
      </c>
    </row>
    <row r="53">
      <c r="A53" s="14">
        <v>2024.0</v>
      </c>
      <c r="B53" s="15" t="s">
        <v>82</v>
      </c>
      <c r="C53" s="14">
        <v>146.42</v>
      </c>
      <c r="D53" s="14">
        <v>0.0</v>
      </c>
      <c r="E53" s="18">
        <v>8.775283324808E11</v>
      </c>
      <c r="F53" s="14">
        <v>0.21</v>
      </c>
      <c r="G53" s="14">
        <v>0.5</v>
      </c>
      <c r="H53" s="18">
        <v>9.214047491048E10</v>
      </c>
      <c r="I53" s="14">
        <v>1.48</v>
      </c>
      <c r="J53" s="14">
        <v>25.43</v>
      </c>
      <c r="K53" s="20">
        <f>'Индекс с Дивидендами'!$J53/'Индекс с Дивидендами'!$C53</f>
        <v>0.1736784592</v>
      </c>
    </row>
    <row r="54" hidden="1">
      <c r="A54" s="14">
        <v>2024.0</v>
      </c>
      <c r="B54" s="15" t="s">
        <v>29</v>
      </c>
      <c r="C54" s="14">
        <v>347.5</v>
      </c>
      <c r="D54" s="14">
        <v>0.0</v>
      </c>
      <c r="E54" s="18">
        <v>2.2199999136E11</v>
      </c>
      <c r="F54" s="14">
        <v>0.14</v>
      </c>
      <c r="G54" s="14">
        <v>0.6</v>
      </c>
      <c r="H54" s="18">
        <v>1.864799927424E10</v>
      </c>
      <c r="I54" s="14">
        <v>0.3</v>
      </c>
      <c r="J54" s="14"/>
      <c r="K54" s="14">
        <f>'Индекс с Дивидендами'!$J54/'Индекс с Дивидендами'!$C54</f>
        <v>0</v>
      </c>
    </row>
    <row r="55" hidden="1">
      <c r="A55" s="14">
        <v>2024.0</v>
      </c>
      <c r="B55" s="15" t="s">
        <v>108</v>
      </c>
      <c r="C55" s="14">
        <v>0.07754</v>
      </c>
      <c r="D55" s="14">
        <v>0.0</v>
      </c>
      <c r="E55" s="18">
        <v>1.6387769626853E11</v>
      </c>
      <c r="F55" s="14">
        <v>0.18</v>
      </c>
      <c r="G55" s="14">
        <v>0.6</v>
      </c>
      <c r="H55" s="18">
        <v>1.7698791197E10</v>
      </c>
      <c r="I55" s="14">
        <v>0.28</v>
      </c>
      <c r="J55" s="14"/>
      <c r="K55" s="14">
        <f>'Индекс с Дивидендами'!$J55/'Индекс с Дивидендами'!$C55</f>
        <v>0</v>
      </c>
    </row>
    <row r="56">
      <c r="A56" s="14">
        <v>2024.0</v>
      </c>
      <c r="B56" s="15" t="s">
        <v>74</v>
      </c>
      <c r="C56" s="14">
        <v>210.3</v>
      </c>
      <c r="D56" s="14">
        <v>0.0</v>
      </c>
      <c r="E56" s="18">
        <v>4.202596452225E11</v>
      </c>
      <c r="F56" s="14">
        <v>0.41</v>
      </c>
      <c r="G56" s="14">
        <v>0.4</v>
      </c>
      <c r="H56" s="18">
        <v>6.892258181649E10</v>
      </c>
      <c r="I56" s="14">
        <v>1.11</v>
      </c>
      <c r="J56" s="14">
        <v>35.0</v>
      </c>
      <c r="K56" s="20">
        <f>'Индекс с Дивидендами'!$J56/'Индекс с Дивидендами'!$C56</f>
        <v>0.1664289111</v>
      </c>
    </row>
    <row r="57" hidden="1">
      <c r="A57" s="14">
        <v>2024.0</v>
      </c>
      <c r="B57" s="15" t="s">
        <v>43</v>
      </c>
      <c r="C57" s="14">
        <v>132.42</v>
      </c>
      <c r="D57" s="14">
        <v>5.918378225E9</v>
      </c>
      <c r="E57" s="18">
        <v>3.134846578218E12</v>
      </c>
      <c r="F57" s="14">
        <v>0.5</v>
      </c>
      <c r="G57" s="14">
        <v>0.5</v>
      </c>
      <c r="H57" s="18">
        <v>7.837116445545E11</v>
      </c>
      <c r="I57" s="14">
        <v>12.57</v>
      </c>
      <c r="J57" s="14"/>
      <c r="K57" s="14">
        <f>'Индекс с Дивидендами'!$J57/'Индекс с Дивидендами'!$C57</f>
        <v>0</v>
      </c>
    </row>
    <row r="58" hidden="1">
      <c r="A58" s="14">
        <v>2024.0</v>
      </c>
      <c r="B58" s="15" t="s">
        <v>45</v>
      </c>
      <c r="C58" s="14">
        <v>115.56</v>
      </c>
      <c r="D58" s="14">
        <v>0.0</v>
      </c>
      <c r="E58" s="18">
        <v>1.766489415732E12</v>
      </c>
      <c r="F58" s="14">
        <v>0.32</v>
      </c>
      <c r="G58" s="14">
        <v>0.4</v>
      </c>
      <c r="H58" s="18">
        <v>2.261106452137E11</v>
      </c>
      <c r="I58" s="14">
        <v>3.63</v>
      </c>
      <c r="J58" s="14"/>
      <c r="K58" s="14">
        <f>'Индекс с Дивидендами'!$J58/'Индекс с Дивидендами'!$C58</f>
        <v>0</v>
      </c>
    </row>
    <row r="59">
      <c r="A59" s="14">
        <v>2024.0</v>
      </c>
      <c r="B59" s="15" t="s">
        <v>147</v>
      </c>
      <c r="C59" s="14">
        <v>5100.0</v>
      </c>
      <c r="D59" s="14">
        <v>0.0</v>
      </c>
      <c r="E59" s="18">
        <v>5.197479105E11</v>
      </c>
      <c r="F59" s="14">
        <v>0.37</v>
      </c>
      <c r="G59" s="14">
        <v>0.3</v>
      </c>
      <c r="H59" s="18">
        <v>5.76920180655E10</v>
      </c>
      <c r="I59" s="14">
        <v>0.93</v>
      </c>
      <c r="J59" s="14">
        <v>824.26</v>
      </c>
      <c r="K59" s="20">
        <f>'Индекс с Дивидендами'!$J59/'Индекс с Дивидендами'!$C59</f>
        <v>0.1616196078</v>
      </c>
    </row>
    <row r="60" hidden="1">
      <c r="A60" s="14">
        <v>2024.0</v>
      </c>
      <c r="B60" s="15" t="s">
        <v>106</v>
      </c>
      <c r="C60" s="14">
        <v>0.5164</v>
      </c>
      <c r="D60" s="14">
        <v>0.0</v>
      </c>
      <c r="E60" s="18">
        <v>2.2969129990242E11</v>
      </c>
      <c r="F60" s="14">
        <v>0.15</v>
      </c>
      <c r="G60" s="14">
        <v>0.4</v>
      </c>
      <c r="H60" s="18">
        <v>1.378147799415E10</v>
      </c>
      <c r="I60" s="14">
        <v>0.22</v>
      </c>
      <c r="J60" s="14"/>
      <c r="K60" s="14">
        <f>'Индекс с Дивидендами'!$J60/'Индекс с Дивидендами'!$C60</f>
        <v>0</v>
      </c>
    </row>
    <row r="61">
      <c r="A61" s="14">
        <v>2024.0</v>
      </c>
      <c r="B61" s="15" t="s">
        <v>137</v>
      </c>
      <c r="C61" s="14">
        <v>681.5</v>
      </c>
      <c r="D61" s="14">
        <v>1.0325595E8</v>
      </c>
      <c r="E61" s="18">
        <v>1.0052704275E11</v>
      </c>
      <c r="F61" s="14">
        <v>1.0</v>
      </c>
      <c r="G61" s="14">
        <v>0.7</v>
      </c>
      <c r="H61" s="18">
        <v>7.0368929925E10</v>
      </c>
      <c r="I61" s="14">
        <v>1.13</v>
      </c>
      <c r="J61" s="14">
        <v>98.54</v>
      </c>
      <c r="K61" s="20">
        <f>'Индекс с Дивидендами'!$J61/'Индекс с Дивидендами'!$C61</f>
        <v>0.14459281</v>
      </c>
    </row>
    <row r="62">
      <c r="A62" s="14">
        <v>2024.0</v>
      </c>
      <c r="B62" s="15" t="s">
        <v>104</v>
      </c>
      <c r="C62" s="14">
        <v>1227.5</v>
      </c>
      <c r="D62" s="14">
        <v>2.301215E7</v>
      </c>
      <c r="E62" s="18">
        <v>1.9086090625E11</v>
      </c>
      <c r="F62" s="14">
        <v>0.37</v>
      </c>
      <c r="G62" s="14">
        <v>0.4</v>
      </c>
      <c r="H62" s="18">
        <v>2.8247414125E10</v>
      </c>
      <c r="I62" s="14">
        <v>0.45</v>
      </c>
      <c r="J62" s="14">
        <v>177.2</v>
      </c>
      <c r="K62" s="20">
        <f>'Индекс с Дивидендами'!$J62/'Индекс с Дивидендами'!$C62</f>
        <v>0.1443584521</v>
      </c>
    </row>
    <row r="63">
      <c r="A63" s="14">
        <v>2024.0</v>
      </c>
      <c r="B63" s="15" t="s">
        <v>98</v>
      </c>
      <c r="C63" s="14">
        <v>41.94</v>
      </c>
      <c r="D63" s="14">
        <v>2.575E8</v>
      </c>
      <c r="E63" s="18">
        <v>4.31982E10</v>
      </c>
      <c r="F63" s="14">
        <v>0.25</v>
      </c>
      <c r="G63" s="14">
        <v>1.0</v>
      </c>
      <c r="H63" s="18">
        <v>1.079955E10</v>
      </c>
      <c r="I63" s="14">
        <v>0.17</v>
      </c>
      <c r="J63" s="14">
        <v>6.0</v>
      </c>
      <c r="K63" s="20">
        <f>'Индекс с Дивидендами'!$J63/'Индекс с Дивидендами'!$C63</f>
        <v>0.1430615165</v>
      </c>
    </row>
    <row r="64">
      <c r="A64" s="14">
        <v>2024.0</v>
      </c>
      <c r="B64" s="15" t="s">
        <v>136</v>
      </c>
      <c r="C64" s="14">
        <v>692.7</v>
      </c>
      <c r="D64" s="14">
        <v>0.0</v>
      </c>
      <c r="E64" s="18">
        <v>1.50917904789E12</v>
      </c>
      <c r="F64" s="14">
        <v>0.32</v>
      </c>
      <c r="G64" s="14">
        <v>0.8</v>
      </c>
      <c r="H64" s="18">
        <v>3.8634983625984E11</v>
      </c>
      <c r="I64" s="14">
        <v>6.2</v>
      </c>
      <c r="J64" s="14">
        <v>98.54</v>
      </c>
      <c r="K64" s="20">
        <f>'Индекс с Дивидендами'!$J64/'Индекс с Дивидендами'!$C64</f>
        <v>0.1422549444</v>
      </c>
    </row>
    <row r="65">
      <c r="A65" s="14">
        <v>2024.0</v>
      </c>
      <c r="B65" s="15" t="s">
        <v>78</v>
      </c>
      <c r="C65" s="14">
        <v>7240.5</v>
      </c>
      <c r="D65" s="14">
        <v>0.0</v>
      </c>
      <c r="E65" s="18">
        <v>5.016694549761E12</v>
      </c>
      <c r="F65" s="14">
        <v>0.55</v>
      </c>
      <c r="G65" s="14">
        <v>0.3180602</v>
      </c>
      <c r="H65" s="18">
        <v>8.7758597950989E11</v>
      </c>
      <c r="I65" s="14">
        <v>14.07</v>
      </c>
      <c r="J65" s="14">
        <v>1012.0</v>
      </c>
      <c r="K65" s="20">
        <f>'Индекс с Дивидендами'!$J65/'Индекс с Дивидендами'!$C65</f>
        <v>0.1397693529</v>
      </c>
    </row>
    <row r="66">
      <c r="A66" s="14">
        <v>2024.0</v>
      </c>
      <c r="B66" s="15" t="s">
        <v>33</v>
      </c>
      <c r="C66" s="14">
        <v>367.0</v>
      </c>
      <c r="D66" s="14">
        <v>0.0</v>
      </c>
      <c r="E66" s="18">
        <v>1.67918659377E11</v>
      </c>
      <c r="F66" s="14">
        <v>0.27</v>
      </c>
      <c r="G66" s="14">
        <v>0.6</v>
      </c>
      <c r="H66" s="18">
        <v>2.720282281907E10</v>
      </c>
      <c r="I66" s="14">
        <v>0.44</v>
      </c>
      <c r="J66" s="14">
        <v>50.63</v>
      </c>
      <c r="K66" s="20">
        <f>'Индекс с Дивидендами'!$J66/'Индекс с Дивидендами'!$C66</f>
        <v>0.1379564033</v>
      </c>
    </row>
    <row r="67">
      <c r="A67" s="14">
        <v>2024.0</v>
      </c>
      <c r="B67" s="15" t="s">
        <v>69</v>
      </c>
      <c r="C67" s="14">
        <v>38.535</v>
      </c>
      <c r="D67" s="14">
        <v>1.3409196E9</v>
      </c>
      <c r="E67" s="18">
        <v>4.3060280655E11</v>
      </c>
      <c r="F67" s="14">
        <v>0.2</v>
      </c>
      <c r="G67" s="14">
        <v>0.6</v>
      </c>
      <c r="H67" s="18">
        <v>5.1672336786E10</v>
      </c>
      <c r="I67" s="14">
        <v>0.83</v>
      </c>
      <c r="J67" s="14">
        <v>5.246</v>
      </c>
      <c r="K67" s="20">
        <f>'Индекс с Дивидендами'!$J67/'Индекс с Дивидендами'!$C67</f>
        <v>0.1361359803</v>
      </c>
    </row>
    <row r="68" hidden="1">
      <c r="A68" s="14">
        <v>2024.0</v>
      </c>
      <c r="B68" s="15" t="s">
        <v>71</v>
      </c>
      <c r="C68" s="14">
        <v>101.46</v>
      </c>
      <c r="D68" s="14">
        <v>0.0</v>
      </c>
      <c r="E68" s="18">
        <v>4.22348297877E10</v>
      </c>
      <c r="F68" s="14">
        <v>0.43</v>
      </c>
      <c r="G68" s="14">
        <v>0.6</v>
      </c>
      <c r="H68" s="18">
        <v>1.089658608523E10</v>
      </c>
      <c r="I68" s="14">
        <v>0.17</v>
      </c>
      <c r="J68" s="14"/>
      <c r="K68" s="14">
        <f>'Индекс с Дивидендами'!$J68/'Индекс с Дивидендами'!$C68</f>
        <v>0</v>
      </c>
    </row>
    <row r="69" hidden="1">
      <c r="A69" s="14">
        <v>2024.0</v>
      </c>
      <c r="B69" s="15" t="s">
        <v>72</v>
      </c>
      <c r="C69" s="14">
        <v>119.8</v>
      </c>
      <c r="D69" s="14">
        <v>0.0</v>
      </c>
      <c r="E69" s="18">
        <v>1.6623078417E10</v>
      </c>
      <c r="F69" s="14">
        <v>0.6</v>
      </c>
      <c r="G69" s="14">
        <v>0.8</v>
      </c>
      <c r="H69" s="18">
        <v>7.97907764016E9</v>
      </c>
      <c r="I69" s="14">
        <v>0.13</v>
      </c>
      <c r="J69" s="14"/>
      <c r="K69" s="14">
        <f>'Индекс с Дивидендами'!$J69/'Индекс с Дивидендами'!$C69</f>
        <v>0</v>
      </c>
    </row>
    <row r="70">
      <c r="A70" s="14">
        <v>2024.0</v>
      </c>
      <c r="B70" s="15" t="s">
        <v>93</v>
      </c>
      <c r="C70" s="14">
        <v>279.4</v>
      </c>
      <c r="D70" s="14">
        <v>0.0</v>
      </c>
      <c r="E70" s="18">
        <v>6.0313932712E12</v>
      </c>
      <c r="F70" s="14">
        <v>0.48</v>
      </c>
      <c r="G70" s="14">
        <v>0.2869555</v>
      </c>
      <c r="H70" s="18">
        <v>8.3075590648023E11</v>
      </c>
      <c r="I70" s="14">
        <v>13.32</v>
      </c>
      <c r="J70" s="14">
        <v>33.3</v>
      </c>
      <c r="K70" s="20">
        <f>'Индекс с Дивидендами'!$J70/'Индекс с Дивидендами'!$C70</f>
        <v>0.1191839656</v>
      </c>
    </row>
    <row r="71">
      <c r="A71" s="14">
        <v>2024.0</v>
      </c>
      <c r="B71" s="15" t="s">
        <v>94</v>
      </c>
      <c r="C71" s="14">
        <v>279.6</v>
      </c>
      <c r="D71" s="14">
        <v>5.73911E8</v>
      </c>
      <c r="E71" s="18">
        <v>2.796E11</v>
      </c>
      <c r="F71" s="14">
        <v>1.0</v>
      </c>
      <c r="G71" s="14">
        <v>0.573911</v>
      </c>
      <c r="H71" s="18">
        <v>1.604655156E11</v>
      </c>
      <c r="I71" s="14">
        <v>2.57</v>
      </c>
      <c r="J71" s="14">
        <v>33.3</v>
      </c>
      <c r="K71" s="20">
        <f>'Индекс с Дивидендами'!$J71/'Индекс с Дивидендами'!$C71</f>
        <v>0.1190987124</v>
      </c>
    </row>
    <row r="72">
      <c r="A72" s="14">
        <v>2024.0</v>
      </c>
      <c r="B72" s="15" t="s">
        <v>63</v>
      </c>
      <c r="C72" s="14">
        <v>714.6</v>
      </c>
      <c r="D72" s="14">
        <v>1.56E7</v>
      </c>
      <c r="E72" s="18">
        <v>8.5752E10</v>
      </c>
      <c r="F72" s="14">
        <v>0.13</v>
      </c>
      <c r="G72" s="14">
        <v>1.0</v>
      </c>
      <c r="H72" s="18">
        <v>1.114776E10</v>
      </c>
      <c r="I72" s="14">
        <v>0.18</v>
      </c>
      <c r="J72" s="14">
        <v>75.0</v>
      </c>
      <c r="K72" s="20">
        <f>'Индекс с Дивидендами'!$J72/'Индекс с Дивидендами'!$C72</f>
        <v>0.1049538203</v>
      </c>
    </row>
    <row r="73">
      <c r="A73" s="14">
        <v>2024.0</v>
      </c>
      <c r="B73" s="15" t="s">
        <v>132</v>
      </c>
      <c r="C73" s="14">
        <v>605.6</v>
      </c>
      <c r="D73" s="14">
        <v>0.0</v>
      </c>
      <c r="E73" s="18">
        <v>6.4182564859752E12</v>
      </c>
      <c r="F73" s="14">
        <v>0.11</v>
      </c>
      <c r="G73" s="14">
        <v>0.4</v>
      </c>
      <c r="H73" s="18">
        <v>2.8240328538291E11</v>
      </c>
      <c r="I73" s="14">
        <v>4.53</v>
      </c>
      <c r="J73" s="14">
        <v>59.78</v>
      </c>
      <c r="K73" s="20">
        <f>'Индекс с Дивидендами'!$J73/'Индекс с Дивидендами'!$C73</f>
        <v>0.09871202114</v>
      </c>
    </row>
    <row r="74" hidden="1">
      <c r="A74" s="14">
        <v>2024.0</v>
      </c>
      <c r="B74" s="15" t="s">
        <v>86</v>
      </c>
      <c r="C74" s="14">
        <v>491.8</v>
      </c>
      <c r="D74" s="14">
        <v>0.0</v>
      </c>
      <c r="E74" s="18">
        <v>3.248325937792E11</v>
      </c>
      <c r="F74" s="14">
        <v>0.21</v>
      </c>
      <c r="G74" s="14">
        <v>1.0</v>
      </c>
      <c r="H74" s="18">
        <v>6.821484469363E10</v>
      </c>
      <c r="I74" s="14">
        <v>1.09</v>
      </c>
      <c r="J74" s="14"/>
      <c r="K74" s="14">
        <f>'Индекс с Дивидендами'!$J74/'Индекс с Дивидендами'!$C74</f>
        <v>0</v>
      </c>
    </row>
    <row r="75">
      <c r="A75" s="14">
        <v>2024.0</v>
      </c>
      <c r="B75" s="15" t="s">
        <v>88</v>
      </c>
      <c r="C75" s="14">
        <f>14000/50</f>
        <v>280</v>
      </c>
      <c r="D75" s="14">
        <v>0.0</v>
      </c>
      <c r="E75" s="18">
        <v>1.9049716E12</v>
      </c>
      <c r="F75" s="14">
        <v>0.22</v>
      </c>
      <c r="G75" s="14">
        <v>0.4</v>
      </c>
      <c r="H75" s="18">
        <v>1.676375008E11</v>
      </c>
      <c r="I75" s="14">
        <v>2.69</v>
      </c>
      <c r="J75" s="14">
        <f>1301.75/50</f>
        <v>26.035</v>
      </c>
      <c r="K75" s="20">
        <f>'Индекс с Дивидендами'!$J75/'Индекс с Дивидендами'!$C75</f>
        <v>0.09298214286</v>
      </c>
    </row>
    <row r="76">
      <c r="A76" s="14">
        <v>2024.0</v>
      </c>
      <c r="B76" s="15" t="s">
        <v>90</v>
      </c>
      <c r="C76" s="14">
        <v>65.75</v>
      </c>
      <c r="D76" s="14">
        <v>0.0</v>
      </c>
      <c r="E76" s="18">
        <v>2.1585711383175E11</v>
      </c>
      <c r="F76" s="14">
        <v>0.29</v>
      </c>
      <c r="G76" s="14">
        <v>0.7</v>
      </c>
      <c r="H76" s="18">
        <v>4.381899410785E10</v>
      </c>
      <c r="I76" s="14">
        <v>0.7</v>
      </c>
      <c r="J76" s="14">
        <v>6.06</v>
      </c>
      <c r="K76" s="20">
        <f>'Индекс с Дивидендами'!$J76/'Индекс с Дивидендами'!$C76</f>
        <v>0.09216730038</v>
      </c>
    </row>
    <row r="77">
      <c r="A77" s="14">
        <v>2024.0</v>
      </c>
      <c r="B77" s="15" t="s">
        <v>59</v>
      </c>
      <c r="C77" s="14">
        <v>3.72</v>
      </c>
      <c r="D77" s="14">
        <v>2.33856E10</v>
      </c>
      <c r="E77" s="18">
        <v>3.88368E11</v>
      </c>
      <c r="F77" s="14">
        <v>0.32</v>
      </c>
      <c r="G77" s="14">
        <v>0.7</v>
      </c>
      <c r="H77" s="18">
        <v>8.6994432E10</v>
      </c>
      <c r="I77" s="14">
        <v>1.4</v>
      </c>
      <c r="J77" s="14">
        <v>0.326</v>
      </c>
      <c r="K77" s="20">
        <f>'Индекс с Дивидендами'!$J77/'Индекс с Дивидендами'!$C77</f>
        <v>0.0876344086</v>
      </c>
    </row>
    <row r="78">
      <c r="A78" s="14">
        <v>2024.0</v>
      </c>
      <c r="B78" s="15" t="s">
        <v>76</v>
      </c>
      <c r="C78" s="14">
        <v>198.49</v>
      </c>
      <c r="D78" s="14">
        <v>0.0</v>
      </c>
      <c r="E78" s="18">
        <v>4.5184292539842E11</v>
      </c>
      <c r="F78" s="14">
        <v>0.64</v>
      </c>
      <c r="G78" s="14">
        <v>0.3</v>
      </c>
      <c r="H78" s="18">
        <v>8.67538416765E10</v>
      </c>
      <c r="I78" s="14">
        <v>1.39</v>
      </c>
      <c r="J78" s="14">
        <v>17.35</v>
      </c>
      <c r="K78" s="20">
        <f>'Индекс с Дивидендами'!$J78/'Индекс с Дивидендами'!$C78</f>
        <v>0.08740994509</v>
      </c>
    </row>
    <row r="79" hidden="1">
      <c r="A79" s="14">
        <v>2024.0</v>
      </c>
      <c r="B79" s="15" t="s">
        <v>21</v>
      </c>
      <c r="C79" s="14">
        <v>36.92</v>
      </c>
      <c r="D79" s="14">
        <v>0.0</v>
      </c>
      <c r="E79" s="18">
        <v>5.6092610870504E11</v>
      </c>
      <c r="F79" s="14">
        <v>0.18</v>
      </c>
      <c r="G79" s="14">
        <v>0.7</v>
      </c>
      <c r="H79" s="18">
        <v>7.067668969684E10</v>
      </c>
      <c r="I79" s="14">
        <v>1.13</v>
      </c>
      <c r="J79" s="14"/>
      <c r="K79" s="14">
        <f>'Индекс с Дивидендами'!$J79/'Индекс с Дивидендами'!$C79</f>
        <v>0</v>
      </c>
    </row>
    <row r="80">
      <c r="A80" s="14">
        <v>2024.0</v>
      </c>
      <c r="B80" s="15" t="s">
        <v>112</v>
      </c>
      <c r="C80" s="14">
        <v>6362.0</v>
      </c>
      <c r="D80" s="14">
        <v>6734000.0</v>
      </c>
      <c r="E80" s="18">
        <v>8.23879E11</v>
      </c>
      <c r="F80" s="14">
        <v>0.26</v>
      </c>
      <c r="G80" s="14">
        <v>0.2</v>
      </c>
      <c r="H80" s="18">
        <v>4.2841708E10</v>
      </c>
      <c r="I80" s="14">
        <v>0.69</v>
      </c>
      <c r="J80" s="14">
        <v>552.0</v>
      </c>
      <c r="K80" s="20">
        <f>'Индекс с Дивидендами'!$J80/'Индекс с Дивидендами'!$C80</f>
        <v>0.08676516819</v>
      </c>
    </row>
    <row r="81">
      <c r="A81" s="14">
        <v>2024.0</v>
      </c>
      <c r="B81" s="15" t="s">
        <v>100</v>
      </c>
      <c r="C81" s="14">
        <v>14.19</v>
      </c>
      <c r="D81" s="14">
        <v>0.0</v>
      </c>
      <c r="E81" s="18">
        <v>2.9364709196625E11</v>
      </c>
      <c r="F81" s="14">
        <v>0.1</v>
      </c>
      <c r="G81" s="14">
        <v>1.0</v>
      </c>
      <c r="H81" s="18">
        <v>2.936470919663E10</v>
      </c>
      <c r="I81" s="14">
        <v>0.47</v>
      </c>
      <c r="J81" s="14">
        <v>1.14</v>
      </c>
      <c r="K81" s="20">
        <f>'Индекс с Дивидендами'!$J81/'Индекс с Дивидендами'!$C81</f>
        <v>0.08033826638</v>
      </c>
    </row>
    <row r="82">
      <c r="A82" s="14">
        <v>2024.0</v>
      </c>
      <c r="B82" s="15" t="s">
        <v>130</v>
      </c>
      <c r="C82" s="14">
        <v>999.6</v>
      </c>
      <c r="D82" s="14">
        <v>2.55049704E8</v>
      </c>
      <c r="E82" s="18">
        <v>3.0350914776E12</v>
      </c>
      <c r="F82" s="14">
        <v>0.21</v>
      </c>
      <c r="G82" s="14">
        <v>0.4</v>
      </c>
      <c r="H82" s="18">
        <v>2.549476841184E11</v>
      </c>
      <c r="I82" s="14">
        <v>4.09</v>
      </c>
      <c r="J82" s="14">
        <v>79.59</v>
      </c>
      <c r="K82" s="20">
        <f>'Индекс с Дивидендами'!$J82/'Индекс с Дивидендами'!$C82</f>
        <v>0.07962184874</v>
      </c>
    </row>
    <row r="83" hidden="1">
      <c r="A83" s="14">
        <v>2024.0</v>
      </c>
      <c r="B83" s="15" t="s">
        <v>128</v>
      </c>
      <c r="C83" s="14">
        <v>1031.0</v>
      </c>
      <c r="D83" s="14">
        <v>0.0</v>
      </c>
      <c r="E83" s="18">
        <v>6.3488318098E10</v>
      </c>
      <c r="F83" s="14">
        <v>0.09</v>
      </c>
      <c r="G83" s="14">
        <v>0.9</v>
      </c>
      <c r="H83" s="18">
        <v>5.14255376594E9</v>
      </c>
      <c r="I83" s="14">
        <v>0.08</v>
      </c>
      <c r="J83" s="14"/>
      <c r="K83" s="14">
        <f>'Индекс с Дивидендами'!$J83/'Индекс с Дивидендами'!$C83</f>
        <v>0</v>
      </c>
    </row>
    <row r="84">
      <c r="A84" s="14">
        <v>2024.0</v>
      </c>
      <c r="B84" s="15" t="s">
        <v>7</v>
      </c>
      <c r="C84" s="14">
        <v>57.6</v>
      </c>
      <c r="D84" s="14">
        <v>0.0</v>
      </c>
      <c r="E84" s="18">
        <v>4.24222020288E11</v>
      </c>
      <c r="F84" s="14">
        <v>0.34</v>
      </c>
      <c r="G84" s="14">
        <v>0.4</v>
      </c>
      <c r="H84" s="18">
        <v>5.769419475917E10</v>
      </c>
      <c r="I84" s="14">
        <v>0.93</v>
      </c>
      <c r="J84" s="14">
        <v>4.51</v>
      </c>
      <c r="K84" s="20">
        <f>'Индекс с Дивидендами'!$J84/'Индекс с Дивидендами'!$C84</f>
        <v>0.07829861111</v>
      </c>
    </row>
    <row r="85">
      <c r="A85" s="14">
        <v>2024.0</v>
      </c>
      <c r="B85" s="15" t="s">
        <v>126</v>
      </c>
      <c r="C85" s="14">
        <v>2.343</v>
      </c>
      <c r="D85" s="14">
        <v>7.154884746E9</v>
      </c>
      <c r="E85" s="18">
        <v>9.31327497771E10</v>
      </c>
      <c r="F85" s="14">
        <v>0.2</v>
      </c>
      <c r="G85" s="14">
        <v>0.9</v>
      </c>
      <c r="H85" s="18">
        <v>1.676389495988E10</v>
      </c>
      <c r="I85" s="14">
        <v>0.27</v>
      </c>
      <c r="J85" s="14">
        <v>0.1604</v>
      </c>
      <c r="K85" s="20">
        <f>'Индекс с Дивидендами'!$J85/'Индекс с Дивидендами'!$C85</f>
        <v>0.06845924029</v>
      </c>
    </row>
    <row r="86">
      <c r="A86" s="14">
        <v>2024.0</v>
      </c>
      <c r="B86" s="15" t="s">
        <v>51</v>
      </c>
      <c r="C86" s="14">
        <v>2009.6</v>
      </c>
      <c r="D86" s="14">
        <v>1.518E7</v>
      </c>
      <c r="E86" s="18">
        <v>1.326336E11</v>
      </c>
      <c r="F86" s="14">
        <v>0.23</v>
      </c>
      <c r="G86" s="14">
        <v>1.0</v>
      </c>
      <c r="H86" s="18">
        <v>3.0505728E10</v>
      </c>
      <c r="I86" s="14">
        <v>0.49</v>
      </c>
      <c r="J86" s="14">
        <v>94.63</v>
      </c>
      <c r="K86" s="20">
        <f>'Индекс с Дивидендами'!$J86/'Индекс с Дивидендами'!$C86</f>
        <v>0.04708897293</v>
      </c>
    </row>
    <row r="87">
      <c r="A87" s="14">
        <v>2024.0</v>
      </c>
      <c r="B87" s="15" t="s">
        <v>141</v>
      </c>
      <c r="C87" s="14">
        <v>24.83</v>
      </c>
      <c r="D87" s="14">
        <v>0.0</v>
      </c>
      <c r="E87" s="18">
        <v>8.8707644852515E11</v>
      </c>
      <c r="F87" s="14">
        <v>0.25</v>
      </c>
      <c r="G87" s="14">
        <v>0.7</v>
      </c>
      <c r="H87" s="18">
        <v>1.552383784919E11</v>
      </c>
      <c r="I87" s="14">
        <v>2.49</v>
      </c>
      <c r="J87" s="14">
        <v>0.85</v>
      </c>
      <c r="K87" s="20">
        <f>'Индекс с Дивидендами'!$J87/'Индекс с Дивидендами'!$C87</f>
        <v>0.03423278292</v>
      </c>
    </row>
    <row r="88">
      <c r="A88" s="14">
        <v>2024.0</v>
      </c>
      <c r="B88" s="15" t="s">
        <v>37</v>
      </c>
      <c r="C88" s="14">
        <v>15.195</v>
      </c>
      <c r="D88" s="14">
        <v>1.9107E9</v>
      </c>
      <c r="E88" s="18">
        <v>1.4663175E11</v>
      </c>
      <c r="F88" s="14">
        <v>0.33</v>
      </c>
      <c r="G88" s="14">
        <v>0.6</v>
      </c>
      <c r="H88" s="18">
        <v>2.90330865E10</v>
      </c>
      <c r="I88" s="14">
        <v>0.47</v>
      </c>
      <c r="J88" s="14">
        <v>0.52</v>
      </c>
      <c r="K88" s="20">
        <f>'Индекс с Дивидендами'!$J88/'Индекс с Дивидендами'!$C88</f>
        <v>0.03422178348</v>
      </c>
    </row>
    <row r="89">
      <c r="A89" s="14">
        <v>2024.0</v>
      </c>
      <c r="B89" s="15" t="s">
        <v>23</v>
      </c>
      <c r="C89" s="14">
        <v>2732.0</v>
      </c>
      <c r="D89" s="14">
        <v>0.0</v>
      </c>
      <c r="E89" s="18">
        <v>5.44502604144E11</v>
      </c>
      <c r="F89" s="14">
        <v>0.56</v>
      </c>
      <c r="G89" s="14">
        <v>0.7</v>
      </c>
      <c r="H89" s="18">
        <v>2.1344502082445E11</v>
      </c>
      <c r="I89" s="14">
        <v>3.42</v>
      </c>
      <c r="J89" s="14">
        <v>92.5</v>
      </c>
      <c r="K89" s="20">
        <f>'Индекс с Дивидендами'!$J89/'Индекс с Дивидендами'!$C89</f>
        <v>0.0338579795</v>
      </c>
    </row>
    <row r="90">
      <c r="A90" s="14">
        <v>2024.0</v>
      </c>
      <c r="B90" s="15" t="s">
        <v>31</v>
      </c>
      <c r="C90" s="14">
        <v>3978.0</v>
      </c>
      <c r="D90" s="14">
        <v>0.0</v>
      </c>
      <c r="E90" s="18">
        <v>1.50946719651E12</v>
      </c>
      <c r="F90" s="14">
        <v>0.15</v>
      </c>
      <c r="G90" s="14">
        <v>1.0</v>
      </c>
      <c r="H90" s="18">
        <v>2.264200794765E11</v>
      </c>
      <c r="I90" s="14">
        <v>3.63</v>
      </c>
      <c r="J90" s="14">
        <v>80.0</v>
      </c>
      <c r="K90" s="20">
        <f>'Индекс с Дивидендами'!$J90/'Индекс с Дивидендами'!$C90</f>
        <v>0.02011060835</v>
      </c>
    </row>
    <row r="91" hidden="1">
      <c r="A91" s="14">
        <v>2024.0</v>
      </c>
      <c r="B91" s="15" t="s">
        <v>179</v>
      </c>
      <c r="C91" s="14">
        <v>0.7481</v>
      </c>
      <c r="D91" s="14">
        <v>0.0</v>
      </c>
      <c r="E91" s="18">
        <v>1.666608569758E11</v>
      </c>
      <c r="F91" s="14">
        <v>0.1</v>
      </c>
      <c r="G91" s="14">
        <v>1.0</v>
      </c>
      <c r="H91" s="18">
        <v>1.666608569758E10</v>
      </c>
      <c r="I91" s="14">
        <v>0.27</v>
      </c>
      <c r="J91" s="14"/>
      <c r="K91" s="14">
        <f>'Индекс с Дивидендами'!$J91/'Индекс с Дивидендами'!$C91</f>
        <v>0</v>
      </c>
    </row>
    <row r="92" hidden="1">
      <c r="A92" s="14">
        <v>2024.0</v>
      </c>
      <c r="B92" s="15" t="s">
        <v>118</v>
      </c>
      <c r="C92" s="14">
        <v>1.824</v>
      </c>
      <c r="D92" s="14">
        <v>0.0</v>
      </c>
      <c r="E92" s="18">
        <v>1.1500084000848E11</v>
      </c>
      <c r="F92" s="14">
        <v>0.16</v>
      </c>
      <c r="G92" s="14">
        <v>0.8</v>
      </c>
      <c r="H92" s="18">
        <v>1.472010752109E10</v>
      </c>
      <c r="I92" s="14">
        <v>0.24</v>
      </c>
      <c r="J92" s="14"/>
      <c r="K92" s="14">
        <f>'Индекс с Дивидендами'!$J92/'Индекс с Дивидендами'!$C92</f>
        <v>0</v>
      </c>
    </row>
    <row r="93" hidden="1">
      <c r="A93" s="14">
        <v>2024.0</v>
      </c>
      <c r="B93" s="15" t="s">
        <v>15</v>
      </c>
      <c r="C93" s="14">
        <v>308.2</v>
      </c>
      <c r="D93" s="14">
        <v>0.0</v>
      </c>
      <c r="E93" s="18">
        <v>7.0231056508E10</v>
      </c>
      <c r="F93" s="14">
        <v>0.47</v>
      </c>
      <c r="G93" s="14">
        <v>0.8</v>
      </c>
      <c r="H93" s="18">
        <v>2.640687724701E10</v>
      </c>
      <c r="I93" s="14">
        <v>0.42</v>
      </c>
      <c r="J93" s="14"/>
      <c r="K93" s="14">
        <f>'Индекс с Дивидендами'!$J93/'Индекс с Дивидендами'!$C93</f>
        <v>0</v>
      </c>
    </row>
    <row r="94" hidden="1">
      <c r="A94" s="14">
        <v>2024.0</v>
      </c>
      <c r="B94" s="15" t="s">
        <v>9</v>
      </c>
      <c r="C94" s="14">
        <v>79.71</v>
      </c>
      <c r="D94" s="19">
        <v>0.0</v>
      </c>
      <c r="E94" s="18">
        <v>4.2803743061103E11</v>
      </c>
      <c r="F94" s="14">
        <v>0.17</v>
      </c>
      <c r="G94" s="14">
        <v>1.0</v>
      </c>
      <c r="H94" s="18">
        <v>7.276636320388E10</v>
      </c>
      <c r="I94" s="14">
        <v>1.17</v>
      </c>
      <c r="J94" s="14"/>
      <c r="K94" s="14">
        <f>'Индекс с Дивидендами'!$J94/'Индекс с Дивидендами'!$C94</f>
        <v>0</v>
      </c>
    </row>
    <row r="95">
      <c r="A95" s="14">
        <v>2024.0</v>
      </c>
      <c r="B95" s="15" t="s">
        <v>120</v>
      </c>
      <c r="C95" s="14">
        <v>472.2</v>
      </c>
      <c r="D95" s="14">
        <v>3.15E7</v>
      </c>
      <c r="E95" s="18">
        <v>9.9162E10</v>
      </c>
      <c r="F95" s="14">
        <v>0.15</v>
      </c>
      <c r="G95" s="14">
        <v>1.0</v>
      </c>
      <c r="H95" s="18">
        <v>1.48743E10</v>
      </c>
      <c r="I95" s="14">
        <v>0.24</v>
      </c>
      <c r="J95" s="14">
        <v>7.89</v>
      </c>
      <c r="K95" s="20">
        <f>'Индекс с Дивидендами'!$J95/'Индекс с Дивидендами'!$C95</f>
        <v>0.0167090216</v>
      </c>
    </row>
    <row r="96">
      <c r="A96" s="14">
        <v>2023.0</v>
      </c>
      <c r="B96" s="15" t="s">
        <v>112</v>
      </c>
      <c r="C96" s="14">
        <v>6600.0</v>
      </c>
      <c r="D96" s="14">
        <v>6734000.0</v>
      </c>
      <c r="E96" s="18">
        <v>8.547E11</v>
      </c>
      <c r="F96" s="14">
        <v>0.26</v>
      </c>
      <c r="G96" s="14">
        <v>0.2</v>
      </c>
      <c r="H96" s="18">
        <v>4.44444E10</v>
      </c>
      <c r="I96" s="14">
        <v>0.81</v>
      </c>
      <c r="J96" s="14">
        <v>1020.0</v>
      </c>
      <c r="K96" s="20">
        <f>'Индекс с Дивидендами'!$J96/'Индекс с Дивидендами'!$C96</f>
        <v>0.1545454545</v>
      </c>
    </row>
    <row r="97" hidden="1">
      <c r="A97" s="14">
        <v>2023.0</v>
      </c>
      <c r="B97" s="15" t="s">
        <v>39</v>
      </c>
      <c r="C97" s="14">
        <v>34.93</v>
      </c>
      <c r="D97" s="14">
        <v>7.95154243E8</v>
      </c>
      <c r="E97" s="18">
        <v>1.3887368853995E11</v>
      </c>
      <c r="F97" s="14">
        <v>0.25</v>
      </c>
      <c r="G97" s="14">
        <v>0.8</v>
      </c>
      <c r="H97" s="18">
        <v>2.777473770799E10</v>
      </c>
      <c r="I97" s="14">
        <v>0.51</v>
      </c>
      <c r="J97" s="14"/>
      <c r="K97" s="14">
        <f>'Индекс с Дивидендами'!$J97/'Индекс с Дивидендами'!$C97</f>
        <v>0</v>
      </c>
    </row>
    <row r="98" hidden="1">
      <c r="A98" s="14">
        <v>2023.0</v>
      </c>
      <c r="B98" s="15" t="s">
        <v>163</v>
      </c>
      <c r="C98" s="14">
        <v>1349.0</v>
      </c>
      <c r="D98" s="14">
        <v>0.0</v>
      </c>
      <c r="E98" s="18">
        <v>1.84363331085E11</v>
      </c>
      <c r="F98" s="14">
        <v>0.25</v>
      </c>
      <c r="G98" s="14">
        <v>1.0</v>
      </c>
      <c r="H98" s="18">
        <v>4.609083277125E10</v>
      </c>
      <c r="I98" s="14">
        <v>0.84</v>
      </c>
      <c r="J98" s="14"/>
      <c r="K98" s="14">
        <f>'Индекс с Дивидендами'!$J98/'Индекс с Дивидендами'!$C98</f>
        <v>0</v>
      </c>
    </row>
    <row r="99">
      <c r="A99" s="14">
        <v>2023.0</v>
      </c>
      <c r="B99" s="15" t="s">
        <v>74</v>
      </c>
      <c r="C99" s="14">
        <v>249.5</v>
      </c>
      <c r="D99" s="14">
        <v>0.0</v>
      </c>
      <c r="E99" s="18">
        <v>4.985962029625E11</v>
      </c>
      <c r="F99" s="14">
        <v>0.41</v>
      </c>
      <c r="G99" s="14">
        <v>0.3</v>
      </c>
      <c r="H99" s="18">
        <v>6.132733296439E10</v>
      </c>
      <c r="I99" s="14">
        <v>1.12</v>
      </c>
      <c r="J99" s="14">
        <v>34.29</v>
      </c>
      <c r="K99" s="20">
        <f>'Индекс с Дивидендами'!$J99/'Индекс с Дивидендами'!$C99</f>
        <v>0.1374348697</v>
      </c>
    </row>
    <row r="100" hidden="1">
      <c r="A100" s="14">
        <v>2023.0</v>
      </c>
      <c r="B100" s="15" t="s">
        <v>4</v>
      </c>
      <c r="C100" s="14">
        <v>8.015</v>
      </c>
      <c r="D100" s="14">
        <v>0.0</v>
      </c>
      <c r="E100" s="18">
        <v>2.6793912457599E11</v>
      </c>
      <c r="F100" s="14">
        <v>0.22</v>
      </c>
      <c r="G100" s="14">
        <v>0.7</v>
      </c>
      <c r="H100" s="18">
        <v>4.12626251847E10</v>
      </c>
      <c r="I100" s="14">
        <v>0.75</v>
      </c>
      <c r="J100" s="14"/>
      <c r="K100" s="14">
        <f>'Индекс с Дивидендами'!$J100/'Индекс с Дивидендами'!$C100</f>
        <v>0</v>
      </c>
    </row>
    <row r="101" hidden="1">
      <c r="A101" s="14">
        <v>2023.0</v>
      </c>
      <c r="B101" s="15" t="s">
        <v>96</v>
      </c>
      <c r="C101" s="14">
        <v>1399.8</v>
      </c>
      <c r="D101" s="14">
        <v>0.0</v>
      </c>
      <c r="E101" s="18">
        <v>1.172638580268E12</v>
      </c>
      <c r="F101" s="14">
        <v>0.23</v>
      </c>
      <c r="G101" s="14">
        <v>0.4</v>
      </c>
      <c r="H101" s="18">
        <v>1.0788274938466E11</v>
      </c>
      <c r="I101" s="14">
        <v>1.97</v>
      </c>
      <c r="J101" s="14"/>
      <c r="K101" s="14">
        <f>'Индекс с Дивидендами'!$J101/'Индекс с Дивидендами'!$C101</f>
        <v>0</v>
      </c>
    </row>
    <row r="102" hidden="1">
      <c r="A102" s="14">
        <v>2023.0</v>
      </c>
      <c r="B102" s="15" t="s">
        <v>29</v>
      </c>
      <c r="C102" s="14">
        <v>440.2</v>
      </c>
      <c r="D102" s="14">
        <v>0.0</v>
      </c>
      <c r="E102" s="18">
        <v>2.812212840192E11</v>
      </c>
      <c r="F102" s="14">
        <v>0.14</v>
      </c>
      <c r="G102" s="14">
        <v>0.6</v>
      </c>
      <c r="H102" s="18">
        <v>2.362258785761E10</v>
      </c>
      <c r="I102" s="14">
        <v>0.43</v>
      </c>
      <c r="J102" s="14"/>
      <c r="K102" s="14">
        <f>'Индекс с Дивидендами'!$J102/'Индекс с Дивидендами'!$C102</f>
        <v>0</v>
      </c>
    </row>
    <row r="103" hidden="1">
      <c r="A103" s="14">
        <v>2023.0</v>
      </c>
      <c r="B103" s="15" t="s">
        <v>108</v>
      </c>
      <c r="C103" s="14">
        <v>0.10968</v>
      </c>
      <c r="D103" s="14">
        <v>0.0</v>
      </c>
      <c r="E103" s="18">
        <v>2.3180430393E11</v>
      </c>
      <c r="F103" s="14">
        <v>0.18</v>
      </c>
      <c r="G103" s="14">
        <v>0.6</v>
      </c>
      <c r="H103" s="18">
        <v>2.503486482444E10</v>
      </c>
      <c r="I103" s="14">
        <v>0.46</v>
      </c>
      <c r="J103" s="14"/>
      <c r="K103" s="14">
        <f>'Индекс с Дивидендами'!$J103/'Индекс с Дивидендами'!$C103</f>
        <v>0</v>
      </c>
    </row>
    <row r="104" hidden="1">
      <c r="A104" s="14">
        <v>2023.0</v>
      </c>
      <c r="B104" s="15" t="s">
        <v>166</v>
      </c>
      <c r="C104" s="14">
        <v>2181.5</v>
      </c>
      <c r="D104" s="14">
        <v>0.0</v>
      </c>
      <c r="E104" s="18">
        <v>5.92436220268E11</v>
      </c>
      <c r="F104" s="14">
        <v>0.41</v>
      </c>
      <c r="G104" s="14">
        <v>0.2</v>
      </c>
      <c r="H104" s="18">
        <v>4.857977006198E10</v>
      </c>
      <c r="I104" s="14">
        <v>0.89</v>
      </c>
      <c r="J104" s="14"/>
      <c r="K104" s="14">
        <f>'Индекс с Дивидендами'!$J104/'Индекс с Дивидендами'!$C104</f>
        <v>0</v>
      </c>
    </row>
    <row r="105">
      <c r="A105" s="14">
        <v>2023.0</v>
      </c>
      <c r="B105" s="15" t="s">
        <v>78</v>
      </c>
      <c r="C105" s="14">
        <v>6768.0</v>
      </c>
      <c r="D105" s="14">
        <v>0.0</v>
      </c>
      <c r="E105" s="18">
        <v>4.689315477216E12</v>
      </c>
      <c r="F105" s="14">
        <v>0.55</v>
      </c>
      <c r="G105" s="14">
        <v>0.30279</v>
      </c>
      <c r="H105" s="18">
        <v>7.809328083405E11</v>
      </c>
      <c r="I105" s="14">
        <v>14.23</v>
      </c>
      <c r="J105" s="14">
        <v>885.0</v>
      </c>
      <c r="K105" s="20">
        <f>'Индекс с Дивидендами'!$J105/'Индекс с Дивидендами'!$C105</f>
        <v>0.1307624113</v>
      </c>
    </row>
    <row r="106" hidden="1">
      <c r="A106" s="14">
        <v>2023.0</v>
      </c>
      <c r="B106" s="15" t="s">
        <v>43</v>
      </c>
      <c r="C106" s="14">
        <v>159.89</v>
      </c>
      <c r="D106" s="14">
        <v>0.0</v>
      </c>
      <c r="E106" s="18">
        <v>3.785157977581E12</v>
      </c>
      <c r="F106" s="14">
        <v>0.5</v>
      </c>
      <c r="G106" s="14">
        <v>0.3351976</v>
      </c>
      <c r="H106" s="18">
        <v>6.34387934853E11</v>
      </c>
      <c r="I106" s="14">
        <v>11.56</v>
      </c>
      <c r="J106" s="14"/>
      <c r="K106" s="14">
        <f>'Индекс с Дивидендами'!$J106/'Индекс с Дивидендами'!$C106</f>
        <v>0</v>
      </c>
    </row>
    <row r="107" hidden="1">
      <c r="A107" s="14">
        <v>2023.0</v>
      </c>
      <c r="B107" s="15" t="s">
        <v>168</v>
      </c>
      <c r="C107" s="14">
        <v>637.25</v>
      </c>
      <c r="D107" s="14">
        <v>0.0</v>
      </c>
      <c r="E107" s="18">
        <v>1.13902648721E11</v>
      </c>
      <c r="F107" s="14">
        <v>0.57</v>
      </c>
      <c r="G107" s="14">
        <v>0.2</v>
      </c>
      <c r="H107" s="18">
        <v>1.298490195419E10</v>
      </c>
      <c r="I107" s="14">
        <v>0.24</v>
      </c>
      <c r="J107" s="14"/>
      <c r="K107" s="14">
        <f>'Индекс с Дивидендами'!$J107/'Индекс с Дивидендами'!$C107</f>
        <v>0</v>
      </c>
    </row>
    <row r="108">
      <c r="A108" s="14">
        <v>2023.0</v>
      </c>
      <c r="B108" s="15" t="s">
        <v>104</v>
      </c>
      <c r="C108" s="14">
        <f>145000/100</f>
        <v>1450</v>
      </c>
      <c r="D108" s="14">
        <v>0.0</v>
      </c>
      <c r="E108" s="18">
        <v>2.25456875E11</v>
      </c>
      <c r="F108" s="14">
        <v>0.37</v>
      </c>
      <c r="G108" s="14">
        <v>0.4</v>
      </c>
      <c r="H108" s="18">
        <v>3.33676175E10</v>
      </c>
      <c r="I108" s="14">
        <v>0.61</v>
      </c>
      <c r="J108" s="14">
        <f>16665.2/100</f>
        <v>166.652</v>
      </c>
      <c r="K108" s="20">
        <f>'Индекс с Дивидендами'!$J108/'Индекс с Дивидендами'!$C108</f>
        <v>0.1149324138</v>
      </c>
    </row>
    <row r="109">
      <c r="A109" s="14">
        <v>2023.0</v>
      </c>
      <c r="B109" s="15" t="s">
        <v>93</v>
      </c>
      <c r="C109" s="14">
        <v>271.8</v>
      </c>
      <c r="D109" s="14">
        <v>0.0</v>
      </c>
      <c r="E109" s="18">
        <v>5.8673324664E12</v>
      </c>
      <c r="F109" s="14">
        <v>0.48</v>
      </c>
      <c r="G109" s="14">
        <v>0.2454392</v>
      </c>
      <c r="H109" s="18">
        <v>6.9123522560989E11</v>
      </c>
      <c r="I109" s="14">
        <v>12.59</v>
      </c>
      <c r="J109" s="14">
        <v>25.0</v>
      </c>
      <c r="K109" s="20">
        <f>'Индекс с Дивидендами'!$J109/'Индекс с Дивидендами'!$C109</f>
        <v>0.09197939662</v>
      </c>
    </row>
    <row r="110">
      <c r="A110" s="14">
        <v>2023.0</v>
      </c>
      <c r="B110" s="15" t="s">
        <v>94</v>
      </c>
      <c r="C110" s="14">
        <v>272.54</v>
      </c>
      <c r="D110" s="14">
        <v>4.908784E8</v>
      </c>
      <c r="E110" s="18">
        <v>2.7254E11</v>
      </c>
      <c r="F110" s="14">
        <v>1.0</v>
      </c>
      <c r="G110" s="14">
        <v>0.4908784</v>
      </c>
      <c r="H110" s="18">
        <v>1.33783999136E11</v>
      </c>
      <c r="I110" s="14">
        <v>2.44</v>
      </c>
      <c r="J110" s="14">
        <v>25.0</v>
      </c>
      <c r="K110" s="20">
        <f>'Индекс с Дивидендами'!$J110/'Индекс с Дивидендами'!$C110</f>
        <v>0.09172965436</v>
      </c>
    </row>
    <row r="111">
      <c r="A111" s="14">
        <v>2023.0</v>
      </c>
      <c r="B111" s="15" t="s">
        <v>137</v>
      </c>
      <c r="C111" s="14">
        <v>708.0</v>
      </c>
      <c r="D111" s="14">
        <v>0.0</v>
      </c>
      <c r="E111" s="18">
        <v>1.04436018E11</v>
      </c>
      <c r="F111" s="14">
        <v>1.0</v>
      </c>
      <c r="G111" s="14">
        <v>0.5865958</v>
      </c>
      <c r="H111" s="18">
        <v>6.126172952752E10</v>
      </c>
      <c r="I111" s="14">
        <v>1.12</v>
      </c>
      <c r="J111" s="14">
        <v>62.11</v>
      </c>
      <c r="K111" s="20">
        <f>'Индекс с Дивидендами'!$J111/'Индекс с Дивидендами'!$C111</f>
        <v>0.0877259887</v>
      </c>
    </row>
    <row r="112" hidden="1">
      <c r="A112" s="14">
        <v>2023.0</v>
      </c>
      <c r="B112" s="15" t="s">
        <v>69</v>
      </c>
      <c r="C112" s="14">
        <v>52.15</v>
      </c>
      <c r="D112" s="14">
        <v>1.3409196E9</v>
      </c>
      <c r="E112" s="18">
        <v>5.827413095E11</v>
      </c>
      <c r="F112" s="14">
        <v>0.2</v>
      </c>
      <c r="G112" s="14">
        <v>0.6</v>
      </c>
      <c r="H112" s="18">
        <v>6.992895714E10</v>
      </c>
      <c r="I112" s="14">
        <v>1.27</v>
      </c>
      <c r="J112" s="14"/>
      <c r="K112" s="14">
        <f>'Индекс с Дивидендами'!$J112/'Индекс с Дивидендами'!$C112</f>
        <v>0</v>
      </c>
    </row>
    <row r="113" hidden="1">
      <c r="A113" s="14">
        <v>2023.0</v>
      </c>
      <c r="B113" s="15" t="s">
        <v>147</v>
      </c>
      <c r="C113" s="14">
        <v>6990.0</v>
      </c>
      <c r="D113" s="14">
        <v>0.0</v>
      </c>
      <c r="E113" s="18">
        <v>7.1236037145E11</v>
      </c>
      <c r="F113" s="14">
        <v>0.37</v>
      </c>
      <c r="G113" s="14">
        <v>0.4</v>
      </c>
      <c r="H113" s="18">
        <v>1.054293349746E11</v>
      </c>
      <c r="I113" s="14">
        <v>1.92</v>
      </c>
      <c r="J113" s="14"/>
      <c r="K113" s="14">
        <f>'Индекс с Дивидендами'!$J113/'Индекс с Дивидендами'!$C113</f>
        <v>0</v>
      </c>
    </row>
    <row r="114">
      <c r="A114" s="14">
        <v>2023.0</v>
      </c>
      <c r="B114" s="15" t="s">
        <v>136</v>
      </c>
      <c r="C114" s="14">
        <v>711.3</v>
      </c>
      <c r="D114" s="14">
        <v>0.0</v>
      </c>
      <c r="E114" s="18">
        <v>1.54970269491E12</v>
      </c>
      <c r="F114" s="14">
        <v>0.32</v>
      </c>
      <c r="G114" s="14">
        <v>0.6703952</v>
      </c>
      <c r="H114" s="18">
        <v>3.3245223939032E11</v>
      </c>
      <c r="I114" s="14">
        <v>6.06</v>
      </c>
      <c r="J114" s="14">
        <v>62.11</v>
      </c>
      <c r="K114" s="20">
        <f>'Индекс с Дивидендами'!$J114/'Индекс с Дивидендами'!$C114</f>
        <v>0.08731899339</v>
      </c>
    </row>
    <row r="115">
      <c r="A115" s="14">
        <v>2023.0</v>
      </c>
      <c r="B115" s="15" t="s">
        <v>90</v>
      </c>
      <c r="C115" s="14">
        <v>68.27</v>
      </c>
      <c r="D115" s="14">
        <v>0.0</v>
      </c>
      <c r="E115" s="18">
        <v>2.2413026861283E11</v>
      </c>
      <c r="F115" s="14">
        <v>0.29</v>
      </c>
      <c r="G115" s="14">
        <v>0.7</v>
      </c>
      <c r="H115" s="18">
        <v>4.54984445284E10</v>
      </c>
      <c r="I115" s="14">
        <v>0.83</v>
      </c>
      <c r="J115" s="14">
        <v>5.4465</v>
      </c>
      <c r="K115" s="20">
        <f>'Индекс с Дивидендами'!$J115/'Индекс с Дивидендами'!$C115</f>
        <v>0.07977881939</v>
      </c>
    </row>
    <row r="116" hidden="1">
      <c r="A116" s="14">
        <v>2023.0</v>
      </c>
      <c r="B116" s="15" t="s">
        <v>71</v>
      </c>
      <c r="C116" s="14">
        <v>311.39</v>
      </c>
      <c r="D116" s="14">
        <v>0.0</v>
      </c>
      <c r="E116" s="18">
        <v>1.2962254728555E11</v>
      </c>
      <c r="F116" s="14">
        <v>0.43</v>
      </c>
      <c r="G116" s="14">
        <v>0.6</v>
      </c>
      <c r="H116" s="18">
        <v>3.344261719967E10</v>
      </c>
      <c r="I116" s="14">
        <v>0.61</v>
      </c>
      <c r="J116" s="14"/>
      <c r="K116" s="14">
        <f>'Индекс с Дивидендами'!$J116/'Индекс с Дивидендами'!$C116</f>
        <v>0</v>
      </c>
    </row>
    <row r="117" hidden="1">
      <c r="A117" s="14">
        <v>2023.0</v>
      </c>
      <c r="B117" s="15" t="s">
        <v>72</v>
      </c>
      <c r="C117" s="14">
        <v>368.6</v>
      </c>
      <c r="D117" s="14">
        <v>0.0</v>
      </c>
      <c r="E117" s="18">
        <v>5.1145798869E10</v>
      </c>
      <c r="F117" s="14">
        <v>0.6</v>
      </c>
      <c r="G117" s="14">
        <v>0.8</v>
      </c>
      <c r="H117" s="18">
        <v>2.454998345712E10</v>
      </c>
      <c r="I117" s="14">
        <v>0.45</v>
      </c>
      <c r="J117" s="14"/>
      <c r="K117" s="14">
        <f>'Индекс с Дивидендами'!$J117/'Индекс с Дивидендами'!$C117</f>
        <v>0</v>
      </c>
    </row>
    <row r="118">
      <c r="A118" s="14">
        <v>2023.0</v>
      </c>
      <c r="B118" s="15" t="s">
        <v>59</v>
      </c>
      <c r="C118" s="14">
        <v>3.9625</v>
      </c>
      <c r="D118" s="14">
        <v>2.1924E10</v>
      </c>
      <c r="E118" s="18">
        <v>4.13685E11</v>
      </c>
      <c r="F118" s="14">
        <v>0.35</v>
      </c>
      <c r="G118" s="14">
        <v>0.6</v>
      </c>
      <c r="H118" s="18">
        <v>8.687385E10</v>
      </c>
      <c r="I118" s="14">
        <v>1.58</v>
      </c>
      <c r="J118" s="14">
        <v>0.2837</v>
      </c>
      <c r="K118" s="20">
        <f>'Индекс с Дивидендами'!$J118/'Индекс с Дивидендами'!$C118</f>
        <v>0.07159621451</v>
      </c>
    </row>
    <row r="119" hidden="1">
      <c r="A119" s="14">
        <v>2023.0</v>
      </c>
      <c r="B119" s="15" t="s">
        <v>82</v>
      </c>
      <c r="C119" s="14">
        <v>179.5</v>
      </c>
      <c r="D119" s="14">
        <v>0.0</v>
      </c>
      <c r="E119" s="18">
        <v>1.07578428958E12</v>
      </c>
      <c r="F119" s="14">
        <v>0.21</v>
      </c>
      <c r="G119" s="14">
        <v>0.4</v>
      </c>
      <c r="H119" s="18">
        <v>9.036588032472E10</v>
      </c>
      <c r="I119" s="14">
        <v>1.65</v>
      </c>
      <c r="J119" s="14"/>
      <c r="K119" s="14">
        <f>'Индекс с Дивидендами'!$J119/'Индекс с Дивидендами'!$C119</f>
        <v>0</v>
      </c>
    </row>
    <row r="120">
      <c r="A120" s="14">
        <v>2023.0</v>
      </c>
      <c r="B120" s="15" t="s">
        <v>106</v>
      </c>
      <c r="C120" s="14">
        <v>0.7117</v>
      </c>
      <c r="D120" s="14">
        <v>0.0</v>
      </c>
      <c r="E120" s="18">
        <v>3.1655944643794E11</v>
      </c>
      <c r="F120" s="14">
        <v>0.15</v>
      </c>
      <c r="G120" s="14">
        <v>0.3</v>
      </c>
      <c r="H120" s="18">
        <v>1.424517508971E10</v>
      </c>
      <c r="I120" s="14">
        <v>0.26</v>
      </c>
      <c r="J120" s="14">
        <v>0.0503</v>
      </c>
      <c r="K120" s="20">
        <f>'Индекс с Дивидендами'!$J120/'Индекс с Дивидендами'!$C120</f>
        <v>0.07067584656</v>
      </c>
    </row>
    <row r="121" hidden="1">
      <c r="A121" s="14">
        <v>2023.0</v>
      </c>
      <c r="B121" s="15" t="s">
        <v>17</v>
      </c>
      <c r="C121" s="14">
        <v>2818.0</v>
      </c>
      <c r="D121" s="14">
        <v>0.0</v>
      </c>
      <c r="E121" s="18">
        <v>6.09853899594E11</v>
      </c>
      <c r="F121" s="14">
        <v>0.4</v>
      </c>
      <c r="G121" s="14">
        <v>0.2</v>
      </c>
      <c r="H121" s="18">
        <v>4.878831196752E10</v>
      </c>
      <c r="I121" s="14">
        <v>0.89</v>
      </c>
      <c r="J121" s="14"/>
      <c r="K121" s="14">
        <f>'Индекс с Дивидендами'!$J121/'Индекс с Дивидендами'!$C121</f>
        <v>0</v>
      </c>
    </row>
    <row r="122">
      <c r="A122" s="14">
        <v>2023.0</v>
      </c>
      <c r="B122" s="15" t="s">
        <v>130</v>
      </c>
      <c r="C122" s="14">
        <v>1464.4</v>
      </c>
      <c r="D122" s="14">
        <v>1.27524852E8</v>
      </c>
      <c r="E122" s="18">
        <v>4.4463665064E12</v>
      </c>
      <c r="F122" s="14">
        <v>0.21</v>
      </c>
      <c r="G122" s="14">
        <v>0.2</v>
      </c>
      <c r="H122" s="18">
        <v>1.867473932688E11</v>
      </c>
      <c r="I122" s="14">
        <v>3.4</v>
      </c>
      <c r="J122" s="14">
        <v>95.08</v>
      </c>
      <c r="K122" s="20">
        <f>'Индекс с Дивидендами'!$J122/'Индекс с Дивидендами'!$C122</f>
        <v>0.06492761541</v>
      </c>
    </row>
    <row r="123" hidden="1">
      <c r="A123" s="14">
        <v>2023.0</v>
      </c>
      <c r="B123" s="15" t="s">
        <v>86</v>
      </c>
      <c r="C123" s="14">
        <v>678.6</v>
      </c>
      <c r="D123" s="14">
        <v>0.0</v>
      </c>
      <c r="E123" s="18">
        <v>4.482134976384E11</v>
      </c>
      <c r="F123" s="14">
        <v>0.21</v>
      </c>
      <c r="G123" s="14">
        <v>1.0</v>
      </c>
      <c r="H123" s="18">
        <v>9.412483450406E10</v>
      </c>
      <c r="I123" s="14">
        <v>1.71</v>
      </c>
      <c r="J123" s="14"/>
      <c r="K123" s="14">
        <f>'Индекс с Дивидендами'!$J123/'Индекс с Дивидендами'!$C123</f>
        <v>0</v>
      </c>
    </row>
    <row r="124" hidden="1">
      <c r="A124" s="14">
        <v>2023.0</v>
      </c>
      <c r="B124" s="15" t="s">
        <v>88</v>
      </c>
      <c r="C124" s="14">
        <f>10677.5/50</f>
        <v>213.55</v>
      </c>
      <c r="D124" s="14">
        <v>0.0</v>
      </c>
      <c r="E124" s="18">
        <v>1.4528810185E12</v>
      </c>
      <c r="F124" s="14">
        <v>0.22</v>
      </c>
      <c r="G124" s="14">
        <v>0.4</v>
      </c>
      <c r="H124" s="18">
        <v>1.27853529628E11</v>
      </c>
      <c r="I124" s="14">
        <v>2.33</v>
      </c>
      <c r="J124" s="14"/>
      <c r="K124" s="14">
        <f>'Индекс с Дивидендами'!$J124/'Индекс с Дивидендами'!$C124</f>
        <v>0</v>
      </c>
    </row>
    <row r="125" hidden="1">
      <c r="A125" s="14">
        <v>2023.0</v>
      </c>
      <c r="B125" s="15" t="s">
        <v>157</v>
      </c>
      <c r="C125" s="14">
        <v>510.1</v>
      </c>
      <c r="D125" s="14">
        <v>0.0</v>
      </c>
      <c r="E125" s="18">
        <v>2.415967445139E11</v>
      </c>
      <c r="F125" s="14">
        <v>0.72</v>
      </c>
      <c r="G125" s="14">
        <v>0.1</v>
      </c>
      <c r="H125" s="18">
        <v>1.7394965605E10</v>
      </c>
      <c r="I125" s="14">
        <v>0.32</v>
      </c>
      <c r="J125" s="14"/>
      <c r="K125" s="14">
        <f>'Индекс с Дивидендами'!$J125/'Индекс с Дивидендами'!$C125</f>
        <v>0</v>
      </c>
    </row>
    <row r="126">
      <c r="A126" s="14">
        <v>2023.0</v>
      </c>
      <c r="B126" s="15" t="s">
        <v>132</v>
      </c>
      <c r="C126" s="14">
        <v>594.5</v>
      </c>
      <c r="D126" s="14">
        <v>0.0</v>
      </c>
      <c r="E126" s="18">
        <v>6.3006167122065E12</v>
      </c>
      <c r="F126" s="14">
        <v>0.11</v>
      </c>
      <c r="G126" s="14">
        <v>0.2</v>
      </c>
      <c r="H126" s="18">
        <v>1.3861356766854E11</v>
      </c>
      <c r="I126" s="14">
        <v>2.53</v>
      </c>
      <c r="J126" s="14">
        <v>38.36</v>
      </c>
      <c r="K126" s="20">
        <f>'Индекс с Дивидендами'!$J126/'Индекс с Дивидендами'!$C126</f>
        <v>0.06452481077</v>
      </c>
    </row>
    <row r="127" hidden="1">
      <c r="A127" s="14">
        <v>2023.0</v>
      </c>
      <c r="B127" s="15" t="s">
        <v>167</v>
      </c>
      <c r="C127" s="14">
        <v>568.0</v>
      </c>
      <c r="D127" s="14">
        <v>0.0</v>
      </c>
      <c r="E127" s="18">
        <v>2.9706089304E10</v>
      </c>
      <c r="F127" s="14">
        <v>0.59</v>
      </c>
      <c r="G127" s="14">
        <v>1.0</v>
      </c>
      <c r="H127" s="18">
        <v>1.752659268936E10</v>
      </c>
      <c r="I127" s="14">
        <v>0.32</v>
      </c>
      <c r="J127" s="14"/>
      <c r="K127" s="14">
        <f>'Индекс с Дивидендами'!$J127/'Индекс с Дивидендами'!$C127</f>
        <v>0</v>
      </c>
    </row>
    <row r="128">
      <c r="A128" s="14">
        <v>2023.0</v>
      </c>
      <c r="B128" s="15" t="s">
        <v>126</v>
      </c>
      <c r="C128" s="14">
        <v>3.089</v>
      </c>
      <c r="D128" s="14">
        <v>6.359897552E9</v>
      </c>
      <c r="E128" s="18">
        <v>1.227857721133E11</v>
      </c>
      <c r="F128" s="14">
        <v>0.2</v>
      </c>
      <c r="G128" s="14">
        <v>0.8</v>
      </c>
      <c r="H128" s="18">
        <v>1.964572353813E10</v>
      </c>
      <c r="I128" s="14">
        <v>0.36</v>
      </c>
      <c r="J128" s="14">
        <v>0.1865</v>
      </c>
      <c r="K128" s="20">
        <f>'Индекс с Дивидендами'!$J128/'Индекс с Дивидендами'!$C128</f>
        <v>0.06037552606</v>
      </c>
    </row>
    <row r="129">
      <c r="A129" s="14">
        <v>2023.0</v>
      </c>
      <c r="B129" s="15" t="s">
        <v>45</v>
      </c>
      <c r="C129" s="14">
        <f>16170/100</f>
        <v>161.7</v>
      </c>
      <c r="D129" s="14">
        <v>0.0</v>
      </c>
      <c r="E129" s="18">
        <v>2.47180112949E12</v>
      </c>
      <c r="F129" s="14">
        <v>0.37</v>
      </c>
      <c r="G129" s="14">
        <v>0.418997</v>
      </c>
      <c r="H129" s="18">
        <v>3.8320058540495E11</v>
      </c>
      <c r="I129" s="14">
        <v>6.98</v>
      </c>
      <c r="J129" s="14">
        <f>915.33/100</f>
        <v>9.1533</v>
      </c>
      <c r="K129" s="20">
        <f>'Индекс с Дивидендами'!$J129/'Индекс с Дивидендами'!$C129</f>
        <v>0.05660667904</v>
      </c>
    </row>
    <row r="130" hidden="1">
      <c r="A130" s="14">
        <v>2023.0</v>
      </c>
      <c r="B130" s="15" t="s">
        <v>21</v>
      </c>
      <c r="C130" s="14">
        <v>34.225</v>
      </c>
      <c r="D130" s="14">
        <v>0.0</v>
      </c>
      <c r="E130" s="18">
        <v>5.1998093365195E11</v>
      </c>
      <c r="F130" s="14">
        <v>0.18</v>
      </c>
      <c r="G130" s="14">
        <v>1.0</v>
      </c>
      <c r="H130" s="18">
        <v>9.359656805735E10</v>
      </c>
      <c r="I130" s="14">
        <v>1.71</v>
      </c>
      <c r="J130" s="14"/>
      <c r="K130" s="14">
        <f>'Индекс с Дивидендами'!$J130/'Индекс с Дивидендами'!$C130</f>
        <v>0</v>
      </c>
    </row>
    <row r="131">
      <c r="A131" s="14">
        <v>2023.0</v>
      </c>
      <c r="B131" s="15" t="s">
        <v>7</v>
      </c>
      <c r="C131" s="14">
        <v>69.63</v>
      </c>
      <c r="D131" s="14">
        <v>0.0</v>
      </c>
      <c r="E131" s="18">
        <v>5.128225568169E11</v>
      </c>
      <c r="F131" s="14">
        <v>0.34</v>
      </c>
      <c r="G131" s="14">
        <v>0.4</v>
      </c>
      <c r="H131" s="18">
        <v>6.97438677271E10</v>
      </c>
      <c r="I131" s="14">
        <v>1.27</v>
      </c>
      <c r="J131" s="14">
        <v>3.77</v>
      </c>
      <c r="K131" s="20">
        <f>'Индекс с Дивидендами'!$J131/'Индекс с Дивидендами'!$C131</f>
        <v>0.05414332902</v>
      </c>
    </row>
    <row r="132">
      <c r="A132" s="14">
        <v>2023.0</v>
      </c>
      <c r="B132" s="15" t="s">
        <v>51</v>
      </c>
      <c r="C132" s="14">
        <v>2013.4</v>
      </c>
      <c r="D132" s="14">
        <v>8580000.0</v>
      </c>
      <c r="E132" s="18">
        <v>1.328844E11</v>
      </c>
      <c r="F132" s="14">
        <v>0.13</v>
      </c>
      <c r="G132" s="14">
        <v>1.0</v>
      </c>
      <c r="H132" s="18">
        <v>1.7274972E10</v>
      </c>
      <c r="I132" s="14">
        <v>0.31</v>
      </c>
      <c r="J132" s="14">
        <v>72.61</v>
      </c>
      <c r="K132" s="20">
        <f>'Индекс с Дивидендами'!$J132/'Индекс с Дивидендами'!$C132</f>
        <v>0.03606337538</v>
      </c>
    </row>
    <row r="133">
      <c r="A133" s="14">
        <v>2023.0</v>
      </c>
      <c r="B133" s="15" t="s">
        <v>98</v>
      </c>
      <c r="C133" s="14">
        <v>63.74</v>
      </c>
      <c r="D133" s="14">
        <v>2.575E8</v>
      </c>
      <c r="E133" s="18">
        <v>6.56522E10</v>
      </c>
      <c r="F133" s="14">
        <v>0.25</v>
      </c>
      <c r="G133" s="14">
        <v>1.0</v>
      </c>
      <c r="H133" s="18">
        <v>1.641305E10</v>
      </c>
      <c r="I133" s="14">
        <v>0.3</v>
      </c>
      <c r="J133" s="14">
        <v>2.0</v>
      </c>
      <c r="K133" s="20">
        <f>'Индекс с Дивидендами'!$J133/'Индекс с Дивидендами'!$C133</f>
        <v>0.03137747098</v>
      </c>
    </row>
    <row r="134" hidden="1">
      <c r="A134" s="14">
        <v>2023.0</v>
      </c>
      <c r="B134" s="15" t="s">
        <v>122</v>
      </c>
      <c r="C134" s="14">
        <v>3.725</v>
      </c>
      <c r="D134" s="14">
        <v>3.53025E9</v>
      </c>
      <c r="E134" s="18">
        <v>5.844525E10</v>
      </c>
      <c r="F134" s="14">
        <v>0.25</v>
      </c>
      <c r="G134" s="14">
        <v>1.0</v>
      </c>
      <c r="H134" s="18">
        <v>1.315018115E10</v>
      </c>
      <c r="I134" s="14">
        <v>0.24</v>
      </c>
      <c r="J134" s="14"/>
      <c r="K134" s="14">
        <f>'Индекс с Дивидендами'!$J134/'Индекс с Дивидендами'!$C134</f>
        <v>0</v>
      </c>
    </row>
    <row r="135" hidden="1">
      <c r="A135" s="14">
        <v>2023.0</v>
      </c>
      <c r="B135" s="15" t="s">
        <v>128</v>
      </c>
      <c r="C135" s="14">
        <v>3877.0</v>
      </c>
      <c r="D135" s="14">
        <v>0.0</v>
      </c>
      <c r="E135" s="18">
        <v>2.38743170966E11</v>
      </c>
      <c r="F135" s="14">
        <v>0.1</v>
      </c>
      <c r="G135" s="14">
        <v>0.9</v>
      </c>
      <c r="H135" s="18">
        <v>2.148688538694E10</v>
      </c>
      <c r="I135" s="14">
        <v>0.39</v>
      </c>
      <c r="J135" s="14"/>
      <c r="K135" s="14">
        <f>'Индекс с Дивидендами'!$J135/'Индекс с Дивидендами'!$C135</f>
        <v>0</v>
      </c>
    </row>
    <row r="136">
      <c r="A136" s="14">
        <v>2023.0</v>
      </c>
      <c r="B136" s="15" t="s">
        <v>141</v>
      </c>
      <c r="C136" s="14">
        <v>26.95</v>
      </c>
      <c r="D136" s="14">
        <v>0.0</v>
      </c>
      <c r="E136" s="18">
        <v>9.6281555729975E11</v>
      </c>
      <c r="F136" s="14">
        <v>0.25</v>
      </c>
      <c r="G136" s="14">
        <v>0.6810729</v>
      </c>
      <c r="H136" s="18">
        <v>1.6393689594381E11</v>
      </c>
      <c r="I136" s="14">
        <v>2.99</v>
      </c>
      <c r="J136" s="14">
        <v>0.8</v>
      </c>
      <c r="K136" s="20">
        <f>'Индекс с Дивидендами'!$J136/'Индекс с Дивидендами'!$C136</f>
        <v>0.02968460111</v>
      </c>
    </row>
    <row r="137">
      <c r="A137" s="14">
        <v>2023.0</v>
      </c>
      <c r="B137" s="15" t="s">
        <v>134</v>
      </c>
      <c r="C137" s="14">
        <v>145.14</v>
      </c>
      <c r="D137" s="14">
        <v>0.0</v>
      </c>
      <c r="E137" s="18">
        <v>3.4470661479114E11</v>
      </c>
      <c r="F137" s="14">
        <v>0.16</v>
      </c>
      <c r="G137" s="14">
        <v>0.7</v>
      </c>
      <c r="H137" s="18">
        <v>3.860714085661E10</v>
      </c>
      <c r="I137" s="14">
        <v>0.7</v>
      </c>
      <c r="J137" s="14">
        <v>4.29</v>
      </c>
      <c r="K137" s="20">
        <f>'Индекс с Дивидендами'!$J137/'Индекс с Дивидендами'!$C137</f>
        <v>0.02955766846</v>
      </c>
    </row>
    <row r="138">
      <c r="A138" s="14">
        <v>2023.0</v>
      </c>
      <c r="B138" s="15" t="s">
        <v>76</v>
      </c>
      <c r="C138" s="14">
        <v>189.13</v>
      </c>
      <c r="D138" s="14">
        <v>0.0</v>
      </c>
      <c r="E138" s="18">
        <v>4.3053580775154E11</v>
      </c>
      <c r="F138" s="14">
        <v>0.64</v>
      </c>
      <c r="G138" s="14">
        <v>0.2</v>
      </c>
      <c r="H138" s="18">
        <v>5.51085833922E10</v>
      </c>
      <c r="I138" s="14">
        <v>1.0</v>
      </c>
      <c r="J138" s="14">
        <v>4.84</v>
      </c>
      <c r="K138" s="20">
        <f>'Индекс с Дивидендами'!$J138/'Индекс с Дивидендами'!$C138</f>
        <v>0.02559086343</v>
      </c>
    </row>
    <row r="139">
      <c r="A139" s="14">
        <v>2023.0</v>
      </c>
      <c r="B139" s="15" t="s">
        <v>37</v>
      </c>
      <c r="C139" s="14">
        <v>16.07</v>
      </c>
      <c r="D139" s="14">
        <v>1.8528E9</v>
      </c>
      <c r="E139" s="18">
        <v>1.550755E11</v>
      </c>
      <c r="F139" s="14">
        <v>0.32</v>
      </c>
      <c r="G139" s="14">
        <v>0.6</v>
      </c>
      <c r="H139" s="18">
        <v>2.9774496E10</v>
      </c>
      <c r="I139" s="14">
        <v>0.54</v>
      </c>
      <c r="J139" s="14">
        <v>0.41</v>
      </c>
      <c r="K139" s="20">
        <f>'Индекс с Дивидендами'!$J139/'Индекс с Дивидендами'!$C139</f>
        <v>0.02551337897</v>
      </c>
    </row>
    <row r="140" hidden="1">
      <c r="A140" s="14">
        <v>2023.0</v>
      </c>
      <c r="B140" s="15" t="s">
        <v>180</v>
      </c>
      <c r="C140" s="14">
        <v>3222.0</v>
      </c>
      <c r="D140" s="14">
        <v>0.0</v>
      </c>
      <c r="E140" s="18">
        <v>6.42162295224E11</v>
      </c>
      <c r="F140" s="14">
        <v>0.58</v>
      </c>
      <c r="G140" s="14">
        <v>0.1</v>
      </c>
      <c r="H140" s="18">
        <v>3.724541312299E10</v>
      </c>
      <c r="I140" s="14">
        <v>0.68</v>
      </c>
      <c r="J140" s="14"/>
      <c r="K140" s="14">
        <f>'Индекс с Дивидендами'!$J140/'Индекс с Дивидендами'!$C140</f>
        <v>0</v>
      </c>
    </row>
    <row r="141">
      <c r="A141" s="14">
        <v>2023.0</v>
      </c>
      <c r="B141" s="15" t="s">
        <v>142</v>
      </c>
      <c r="C141" s="14">
        <v>55.535</v>
      </c>
      <c r="D141" s="14">
        <v>0.0</v>
      </c>
      <c r="E141" s="18">
        <v>4.2773047198073E11</v>
      </c>
      <c r="F141" s="14">
        <v>0.73</v>
      </c>
      <c r="G141" s="14">
        <v>0.4864807</v>
      </c>
      <c r="H141" s="18">
        <v>1.5190031217697E11</v>
      </c>
      <c r="I141" s="14">
        <v>2.77</v>
      </c>
      <c r="J141" s="14">
        <v>0.8</v>
      </c>
      <c r="K141" s="20">
        <f>'Индекс с Дивидендами'!$J141/'Индекс с Дивидендами'!$C141</f>
        <v>0.01440532997</v>
      </c>
    </row>
    <row r="142" hidden="1">
      <c r="A142" s="14">
        <v>2023.0</v>
      </c>
      <c r="B142" s="15" t="s">
        <v>118</v>
      </c>
      <c r="C142" s="14">
        <v>1.999</v>
      </c>
      <c r="D142" s="14">
        <v>0.0</v>
      </c>
      <c r="E142" s="18">
        <v>1.2603436358386E11</v>
      </c>
      <c r="F142" s="14">
        <v>0.16</v>
      </c>
      <c r="G142" s="14">
        <v>0.8</v>
      </c>
      <c r="H142" s="18">
        <v>1.613239853873E10</v>
      </c>
      <c r="I142" s="14">
        <v>0.29</v>
      </c>
      <c r="J142" s="14"/>
      <c r="K142" s="14">
        <f>'Индекс с Дивидендами'!$J142/'Индекс с Дивидендами'!$C142</f>
        <v>0</v>
      </c>
    </row>
    <row r="143" hidden="1">
      <c r="A143" s="14">
        <v>2023.0</v>
      </c>
      <c r="B143" s="15" t="s">
        <v>15</v>
      </c>
      <c r="C143" s="14">
        <v>560.2</v>
      </c>
      <c r="D143" s="14">
        <v>0.0</v>
      </c>
      <c r="E143" s="18">
        <v>1.266874272764E11</v>
      </c>
      <c r="F143" s="14">
        <v>0.53</v>
      </c>
      <c r="G143" s="14">
        <v>0.3</v>
      </c>
      <c r="H143" s="18">
        <v>2.014330093695E10</v>
      </c>
      <c r="I143" s="14">
        <v>0.37</v>
      </c>
      <c r="J143" s="14"/>
      <c r="K143" s="14">
        <f>'Индекс с Дивидендами'!$J143/'Индекс с Дивидендами'!$C143</f>
        <v>0</v>
      </c>
    </row>
    <row r="144" hidden="1">
      <c r="A144" s="14">
        <v>2023.0</v>
      </c>
      <c r="B144" s="15" t="s">
        <v>9</v>
      </c>
      <c r="C144" s="14">
        <f>0.02278*5000</f>
        <v>113.9</v>
      </c>
      <c r="D144" s="19">
        <v>0.0</v>
      </c>
      <c r="E144" s="18">
        <v>6.115012220697E11</v>
      </c>
      <c r="F144" s="14">
        <v>0.17</v>
      </c>
      <c r="G144" s="14">
        <v>0.5</v>
      </c>
      <c r="H144" s="18">
        <v>5.197760387592E10</v>
      </c>
      <c r="I144" s="14">
        <v>0.95</v>
      </c>
      <c r="J144" s="14"/>
      <c r="K144" s="14">
        <f>'Индекс с Дивидендами'!$J144/'Индекс с Дивидендами'!$C144</f>
        <v>0</v>
      </c>
    </row>
    <row r="145" hidden="1">
      <c r="A145" s="14">
        <v>2023.0</v>
      </c>
      <c r="B145" s="15" t="s">
        <v>181</v>
      </c>
      <c r="C145" s="14">
        <v>2549.0</v>
      </c>
      <c r="D145" s="14">
        <v>0.0</v>
      </c>
      <c r="E145" s="18">
        <v>8.3184644623E11</v>
      </c>
      <c r="F145" s="14">
        <v>0.98</v>
      </c>
      <c r="G145" s="14">
        <v>0.1</v>
      </c>
      <c r="H145" s="18">
        <v>8.152095173054E10</v>
      </c>
      <c r="I145" s="14">
        <v>1.49</v>
      </c>
      <c r="J145" s="14"/>
      <c r="K145" s="14">
        <f>'Индекс с Дивидендами'!$J145/'Индекс с Дивидендами'!$C145</f>
        <v>0</v>
      </c>
    </row>
    <row r="146" hidden="1">
      <c r="A146" s="14">
        <v>2022.0</v>
      </c>
      <c r="B146" s="15" t="s">
        <v>37</v>
      </c>
      <c r="C146" s="14">
        <v>11.93</v>
      </c>
      <c r="D146" s="14">
        <v>3.088E9</v>
      </c>
      <c r="E146" s="18">
        <v>1.151245E11</v>
      </c>
      <c r="F146" s="14">
        <v>0.32</v>
      </c>
      <c r="G146" s="14">
        <v>1.0</v>
      </c>
      <c r="H146" s="18">
        <v>3.683984E10</v>
      </c>
      <c r="I146" s="14">
        <v>0.35</v>
      </c>
      <c r="J146" s="14"/>
      <c r="K146" s="14">
        <f>'Индекс с Дивидендами'!$J146/'Индекс с Дивидендами'!$C146</f>
        <v>0</v>
      </c>
    </row>
    <row r="147" hidden="1">
      <c r="A147" s="14">
        <v>2022.0</v>
      </c>
      <c r="B147" s="15" t="s">
        <v>39</v>
      </c>
      <c r="C147" s="14">
        <v>24.6</v>
      </c>
      <c r="D147" s="14">
        <v>0.0</v>
      </c>
      <c r="E147" s="18">
        <v>9.7803971889E10</v>
      </c>
      <c r="F147" s="14">
        <v>0.25</v>
      </c>
      <c r="G147" s="14">
        <v>1.0</v>
      </c>
      <c r="H147" s="18">
        <v>2.445099297225E10</v>
      </c>
      <c r="I147" s="14">
        <v>0.23</v>
      </c>
      <c r="J147" s="14"/>
      <c r="K147" s="14">
        <f>'Индекс с Дивидендами'!$J147/'Индекс с Дивидендами'!$C147</f>
        <v>0</v>
      </c>
    </row>
    <row r="148" hidden="1">
      <c r="A148" s="14">
        <v>2022.0</v>
      </c>
      <c r="B148" s="15" t="s">
        <v>7</v>
      </c>
      <c r="C148" s="14">
        <v>59.0</v>
      </c>
      <c r="D148" s="14">
        <v>0.0</v>
      </c>
      <c r="E148" s="18">
        <v>4.3453297217E11</v>
      </c>
      <c r="F148" s="14">
        <v>0.34</v>
      </c>
      <c r="G148" s="14">
        <v>1.0</v>
      </c>
      <c r="H148" s="18">
        <v>1.477412105378E11</v>
      </c>
      <c r="I148" s="14">
        <v>1.41</v>
      </c>
      <c r="J148" s="14"/>
      <c r="K148" s="14">
        <f>'Индекс с Дивидендами'!$J148/'Индекс с Дивидендами'!$C148</f>
        <v>0</v>
      </c>
    </row>
    <row r="149" hidden="1">
      <c r="A149" s="14">
        <v>2022.0</v>
      </c>
      <c r="B149" s="15" t="s">
        <v>4</v>
      </c>
      <c r="C149" s="14">
        <v>6.722</v>
      </c>
      <c r="D149" s="14">
        <v>0.0</v>
      </c>
      <c r="E149" s="18">
        <v>2.2471450971925E11</v>
      </c>
      <c r="F149" s="14">
        <v>0.22</v>
      </c>
      <c r="G149" s="14">
        <v>1.0</v>
      </c>
      <c r="H149" s="18">
        <v>4.943719213824E10</v>
      </c>
      <c r="I149" s="14">
        <v>0.47</v>
      </c>
      <c r="J149" s="14"/>
      <c r="K149" s="14">
        <f>'Индекс с Дивидендами'!$J149/'Индекс с Дивидендами'!$C149</f>
        <v>0</v>
      </c>
    </row>
    <row r="150" hidden="1">
      <c r="A150" s="14">
        <v>2022.0</v>
      </c>
      <c r="B150" s="15" t="s">
        <v>96</v>
      </c>
      <c r="C150" s="14">
        <v>901.8</v>
      </c>
      <c r="D150" s="14">
        <v>0.0</v>
      </c>
      <c r="E150" s="18">
        <v>7.55454687588E11</v>
      </c>
      <c r="F150" s="14">
        <v>0.23</v>
      </c>
      <c r="G150" s="14">
        <v>1.0</v>
      </c>
      <c r="H150" s="18">
        <v>1.7375457814524E11</v>
      </c>
      <c r="I150" s="14">
        <v>1.66</v>
      </c>
      <c r="J150" s="14"/>
      <c r="K150" s="14">
        <f>'Индекс с Дивидендами'!$J150/'Индекс с Дивидендами'!$C150</f>
        <v>0</v>
      </c>
    </row>
    <row r="151" hidden="1">
      <c r="A151" s="14">
        <v>2022.0</v>
      </c>
      <c r="B151" s="15" t="s">
        <v>164</v>
      </c>
      <c r="C151" s="14">
        <v>67.0</v>
      </c>
      <c r="D151" s="14">
        <v>3.9906E8</v>
      </c>
      <c r="E151" s="18">
        <v>4.9513E10</v>
      </c>
      <c r="F151" s="14">
        <v>0.54</v>
      </c>
      <c r="G151" s="14">
        <v>1.0</v>
      </c>
      <c r="H151" s="18">
        <v>2.673702E10</v>
      </c>
      <c r="I151" s="14">
        <v>0.25</v>
      </c>
      <c r="J151" s="14"/>
      <c r="K151" s="14">
        <f>'Индекс с Дивидендами'!$J151/'Индекс с Дивидендами'!$C151</f>
        <v>0</v>
      </c>
    </row>
    <row r="152" hidden="1">
      <c r="A152" s="14">
        <v>2022.0</v>
      </c>
      <c r="B152" s="15" t="s">
        <v>29</v>
      </c>
      <c r="C152" s="14">
        <v>374.5</v>
      </c>
      <c r="D152" s="14">
        <v>0.0</v>
      </c>
      <c r="E152" s="18">
        <v>2.39248911552E11</v>
      </c>
      <c r="F152" s="14">
        <v>0.14</v>
      </c>
      <c r="G152" s="14">
        <v>1.0</v>
      </c>
      <c r="H152" s="18">
        <v>3.349484761728E10</v>
      </c>
      <c r="I152" s="14">
        <v>0.32</v>
      </c>
      <c r="J152" s="14"/>
      <c r="K152" s="14">
        <f>'Индекс с Дивидендами'!$J152/'Индекс с Дивидендами'!$C152</f>
        <v>0</v>
      </c>
    </row>
    <row r="153" hidden="1">
      <c r="A153" s="14">
        <v>2022.0</v>
      </c>
      <c r="B153" s="15" t="s">
        <v>166</v>
      </c>
      <c r="C153" s="14">
        <v>1506.0</v>
      </c>
      <c r="D153" s="14">
        <v>0.0</v>
      </c>
      <c r="E153" s="18">
        <v>4.08988745232E11</v>
      </c>
      <c r="F153" s="14">
        <v>0.41</v>
      </c>
      <c r="G153" s="14">
        <v>1.0</v>
      </c>
      <c r="H153" s="18">
        <v>1.6768538554512E11</v>
      </c>
      <c r="I153" s="14">
        <v>1.6</v>
      </c>
      <c r="J153" s="14"/>
      <c r="K153" s="14">
        <f>'Индекс с Дивидендами'!$J153/'Индекс с Дивидендами'!$C153</f>
        <v>0</v>
      </c>
    </row>
    <row r="154" hidden="1">
      <c r="A154" s="14">
        <v>2022.0</v>
      </c>
      <c r="B154" s="15" t="s">
        <v>182</v>
      </c>
      <c r="C154" s="14">
        <v>337.2</v>
      </c>
      <c r="D154" s="14">
        <v>1.1475E8</v>
      </c>
      <c r="E154" s="18">
        <v>2.8662E11</v>
      </c>
      <c r="F154" s="14">
        <v>0.27</v>
      </c>
      <c r="G154" s="14">
        <v>0.5</v>
      </c>
      <c r="H154" s="18">
        <v>3.86937E10</v>
      </c>
      <c r="I154" s="14">
        <v>0.37</v>
      </c>
      <c r="J154" s="14"/>
      <c r="K154" s="14">
        <f>'Индекс с Дивидендами'!$J154/'Индекс с Дивидендами'!$C154</f>
        <v>0</v>
      </c>
    </row>
    <row r="155">
      <c r="A155" s="14">
        <v>2022.0</v>
      </c>
      <c r="B155" s="15" t="s">
        <v>43</v>
      </c>
      <c r="C155" s="14">
        <v>162.72</v>
      </c>
      <c r="D155" s="14">
        <v>0.0</v>
      </c>
      <c r="E155" s="18">
        <v>3.852154019088E12</v>
      </c>
      <c r="F155" s="14">
        <v>0.5</v>
      </c>
      <c r="G155" s="14">
        <v>0.8015768</v>
      </c>
      <c r="H155" s="18">
        <v>1.54389864586386E12</v>
      </c>
      <c r="I155" s="14">
        <v>14.71</v>
      </c>
      <c r="J155" s="14">
        <v>51.03</v>
      </c>
      <c r="K155" s="20">
        <f>'Индекс с Дивидендами'!$J155/'Индекс с Дивидендами'!$C155</f>
        <v>0.3136061947</v>
      </c>
    </row>
    <row r="156" hidden="1">
      <c r="A156" s="14">
        <v>2022.0</v>
      </c>
      <c r="B156" s="15" t="s">
        <v>168</v>
      </c>
      <c r="C156" s="14">
        <v>270.25</v>
      </c>
      <c r="D156" s="14">
        <v>0.0</v>
      </c>
      <c r="E156" s="18">
        <v>4.8304732549E10</v>
      </c>
      <c r="F156" s="14">
        <v>0.57</v>
      </c>
      <c r="G156" s="14">
        <v>1.0</v>
      </c>
      <c r="H156" s="18">
        <v>2.753369755293E10</v>
      </c>
      <c r="I156" s="14">
        <v>0.26</v>
      </c>
      <c r="J156" s="14"/>
      <c r="K156" s="14">
        <f>'Индекс с Дивидендами'!$J156/'Индекс с Дивидендами'!$C156</f>
        <v>0</v>
      </c>
    </row>
    <row r="157">
      <c r="A157" s="14">
        <v>2022.0</v>
      </c>
      <c r="B157" s="15" t="s">
        <v>78</v>
      </c>
      <c r="C157" s="14">
        <v>4072.5</v>
      </c>
      <c r="D157" s="14">
        <v>0.0</v>
      </c>
      <c r="E157" s="18">
        <v>2.821695815745E12</v>
      </c>
      <c r="F157" s="14">
        <v>0.55</v>
      </c>
      <c r="G157" s="14">
        <v>0.8920187</v>
      </c>
      <c r="H157" s="18">
        <v>1.38435298834612E12</v>
      </c>
      <c r="I157" s="14">
        <v>13.19</v>
      </c>
      <c r="J157" s="14">
        <v>793.0</v>
      </c>
      <c r="K157" s="20">
        <f>'Индекс с Дивидендами'!$J157/'Индекс с Дивидендами'!$C157</f>
        <v>0.1947206875</v>
      </c>
    </row>
    <row r="158">
      <c r="A158" s="14">
        <v>2022.0</v>
      </c>
      <c r="B158" s="15" t="s">
        <v>142</v>
      </c>
      <c r="C158" s="14">
        <v>25.95</v>
      </c>
      <c r="D158" s="14">
        <v>0.0</v>
      </c>
      <c r="E158" s="18">
        <v>1.9986685419825E11</v>
      </c>
      <c r="F158" s="14">
        <v>0.73</v>
      </c>
      <c r="G158" s="14">
        <v>1.0</v>
      </c>
      <c r="H158" s="18">
        <v>1.4590280356472E11</v>
      </c>
      <c r="I158" s="14">
        <v>1.39</v>
      </c>
      <c r="J158" s="14">
        <v>4.73</v>
      </c>
      <c r="K158" s="20">
        <f>'Индекс с Дивидендами'!$J158/'Индекс с Дивидендами'!$C158</f>
        <v>0.1822736031</v>
      </c>
    </row>
    <row r="159">
      <c r="A159" s="14">
        <v>2022.0</v>
      </c>
      <c r="B159" s="15" t="s">
        <v>45</v>
      </c>
      <c r="C159" s="14">
        <f>15300/100</f>
        <v>153</v>
      </c>
      <c r="D159" s="14">
        <v>0.0</v>
      </c>
      <c r="E159" s="18">
        <v>2.3509157472E12</v>
      </c>
      <c r="F159" s="14">
        <v>0.37</v>
      </c>
      <c r="G159" s="14">
        <v>0.8920187</v>
      </c>
      <c r="H159" s="18">
        <v>7.7591249919189E11</v>
      </c>
      <c r="I159" s="14">
        <v>7.39</v>
      </c>
      <c r="J159" s="14">
        <f>2689.39/100</f>
        <v>26.8939</v>
      </c>
      <c r="K159" s="20">
        <f>'Индекс с Дивидендами'!$J159/'Индекс с Дивидендами'!$C159</f>
        <v>0.1757771242</v>
      </c>
    </row>
    <row r="160">
      <c r="A160" s="14">
        <v>2022.0</v>
      </c>
      <c r="B160" s="15" t="s">
        <v>137</v>
      </c>
      <c r="C160" s="14">
        <v>340.8</v>
      </c>
      <c r="D160" s="14">
        <v>1.475085E8</v>
      </c>
      <c r="E160" s="18">
        <v>5.02708968E10</v>
      </c>
      <c r="F160" s="14">
        <v>1.0</v>
      </c>
      <c r="G160" s="14">
        <v>1.0</v>
      </c>
      <c r="H160" s="18">
        <v>5.02708968E10</v>
      </c>
      <c r="I160" s="14">
        <v>0.48</v>
      </c>
      <c r="J160" s="14">
        <v>58.83</v>
      </c>
      <c r="K160" s="20">
        <f>'Индекс с Дивидендами'!$J160/'Индекс с Дивидендами'!$C160</f>
        <v>0.1726232394</v>
      </c>
    </row>
    <row r="161">
      <c r="A161" s="14">
        <v>2022.0</v>
      </c>
      <c r="B161" s="15" t="s">
        <v>112</v>
      </c>
      <c r="C161" s="14">
        <v>6401.0</v>
      </c>
      <c r="D161" s="14">
        <v>3.367E7</v>
      </c>
      <c r="E161" s="18">
        <v>8.289295E11</v>
      </c>
      <c r="F161" s="14">
        <v>0.26</v>
      </c>
      <c r="G161" s="14">
        <v>1.0</v>
      </c>
      <c r="H161" s="18">
        <v>2.1552167E11</v>
      </c>
      <c r="I161" s="14">
        <v>2.05</v>
      </c>
      <c r="J161" s="14">
        <v>1098.0</v>
      </c>
      <c r="K161" s="20">
        <f>'Индекс с Дивидендами'!$J161/'Индекс с Дивидендами'!$C161</f>
        <v>0.1715356975</v>
      </c>
    </row>
    <row r="162" hidden="1">
      <c r="A162" s="14">
        <v>2022.0</v>
      </c>
      <c r="B162" s="15" t="s">
        <v>147</v>
      </c>
      <c r="C162" s="14">
        <v>4361.5</v>
      </c>
      <c r="D162" s="14">
        <v>0.0</v>
      </c>
      <c r="E162" s="18">
        <v>4.444863748325E11</v>
      </c>
      <c r="F162" s="14">
        <v>0.67</v>
      </c>
      <c r="G162" s="14">
        <v>1.0</v>
      </c>
      <c r="H162" s="18">
        <v>2.9780587113778E11</v>
      </c>
      <c r="I162" s="14">
        <v>2.84</v>
      </c>
      <c r="J162" s="14"/>
      <c r="K162" s="14">
        <f>'Индекс с Дивидендами'!$J162/'Индекс с Дивидендами'!$C162</f>
        <v>0</v>
      </c>
    </row>
    <row r="163" hidden="1">
      <c r="A163" s="14">
        <v>2022.0</v>
      </c>
      <c r="B163" s="15" t="s">
        <v>76</v>
      </c>
      <c r="C163" s="14">
        <v>94.91</v>
      </c>
      <c r="D163" s="14">
        <v>0.0</v>
      </c>
      <c r="E163" s="18">
        <v>2.1605326237878E11</v>
      </c>
      <c r="F163" s="14">
        <v>0.64</v>
      </c>
      <c r="G163" s="14">
        <v>1.0</v>
      </c>
      <c r="H163" s="18">
        <v>1.3827408792242E11</v>
      </c>
      <c r="I163" s="14">
        <v>1.32</v>
      </c>
      <c r="J163" s="14"/>
      <c r="K163" s="14">
        <f>'Индекс с Дивидендами'!$J163/'Индекс с Дивидендами'!$C163</f>
        <v>0</v>
      </c>
    </row>
    <row r="164">
      <c r="A164" s="14">
        <v>2022.0</v>
      </c>
      <c r="B164" s="15" t="s">
        <v>136</v>
      </c>
      <c r="C164" s="14">
        <v>348.9</v>
      </c>
      <c r="D164" s="14">
        <v>6.97181024E8</v>
      </c>
      <c r="E164" s="18">
        <v>7.6014518523E11</v>
      </c>
      <c r="F164" s="14">
        <v>0.32</v>
      </c>
      <c r="G164" s="14">
        <v>1.0</v>
      </c>
      <c r="H164" s="18">
        <v>2.432464592736E11</v>
      </c>
      <c r="I164" s="14">
        <v>2.32</v>
      </c>
      <c r="J164" s="14">
        <v>58.83</v>
      </c>
      <c r="K164" s="20">
        <f>'Индекс с Дивидендами'!$J164/'Индекс с Дивидендами'!$C164</f>
        <v>0.1686156492</v>
      </c>
    </row>
    <row r="165" hidden="1">
      <c r="A165" s="14">
        <v>2022.0</v>
      </c>
      <c r="B165" s="15" t="s">
        <v>82</v>
      </c>
      <c r="C165" s="14">
        <v>117.6</v>
      </c>
      <c r="D165" s="14">
        <v>0.0</v>
      </c>
      <c r="E165" s="18">
        <v>7.04803523424E11</v>
      </c>
      <c r="F165" s="14">
        <v>0.21</v>
      </c>
      <c r="G165" s="14">
        <v>1.0</v>
      </c>
      <c r="H165" s="18">
        <v>1.4800873991904E11</v>
      </c>
      <c r="I165" s="14">
        <v>1.41</v>
      </c>
      <c r="J165" s="14"/>
      <c r="K165" s="14">
        <f>'Индекс с Дивидендами'!$J165/'Индекс с Дивидендами'!$C165</f>
        <v>0</v>
      </c>
    </row>
    <row r="166">
      <c r="A166" s="14">
        <v>2022.0</v>
      </c>
      <c r="B166" s="15" t="s">
        <v>74</v>
      </c>
      <c r="C166" s="14">
        <v>235.6</v>
      </c>
      <c r="D166" s="14">
        <v>0.0</v>
      </c>
      <c r="E166" s="18">
        <v>4.7081869907E11</v>
      </c>
      <c r="F166" s="14">
        <v>0.41</v>
      </c>
      <c r="G166" s="14">
        <v>1.0</v>
      </c>
      <c r="H166" s="18">
        <v>1.930356666187E11</v>
      </c>
      <c r="I166" s="14">
        <v>1.84</v>
      </c>
      <c r="J166" s="14">
        <v>33.85</v>
      </c>
      <c r="K166" s="20">
        <f>'Индекс с Дивидендами'!$J166/'Индекс с Дивидендами'!$C166</f>
        <v>0.1436757216</v>
      </c>
    </row>
    <row r="167" hidden="1">
      <c r="A167" s="14">
        <v>2022.0</v>
      </c>
      <c r="B167" s="15" t="s">
        <v>17</v>
      </c>
      <c r="C167" s="14">
        <v>1403.5</v>
      </c>
      <c r="D167" s="14">
        <v>0.0</v>
      </c>
      <c r="E167" s="18">
        <v>3.037366742655E11</v>
      </c>
      <c r="F167" s="14">
        <v>0.36</v>
      </c>
      <c r="G167" s="14">
        <v>1.0</v>
      </c>
      <c r="H167" s="18">
        <v>1.0934520273558E11</v>
      </c>
      <c r="I167" s="14">
        <v>1.04</v>
      </c>
      <c r="J167" s="14"/>
      <c r="K167" s="14">
        <f>'Индекс с Дивидендами'!$J167/'Индекс с Дивидендами'!$C167</f>
        <v>0</v>
      </c>
    </row>
    <row r="168">
      <c r="A168" s="14">
        <v>2022.0</v>
      </c>
      <c r="B168" s="15" t="s">
        <v>104</v>
      </c>
      <c r="C168" s="14">
        <f>87550/100</f>
        <v>875.5</v>
      </c>
      <c r="D168" s="14">
        <v>0.0</v>
      </c>
      <c r="E168" s="18">
        <v>1.3612930625E11</v>
      </c>
      <c r="F168" s="14">
        <v>0.37</v>
      </c>
      <c r="G168" s="14">
        <v>1.0</v>
      </c>
      <c r="H168" s="18">
        <v>5.03678433125E10</v>
      </c>
      <c r="I168" s="14">
        <v>0.48</v>
      </c>
      <c r="J168" s="14">
        <f>10497.36/100</f>
        <v>104.9736</v>
      </c>
      <c r="K168" s="20">
        <f>'Индекс с Дивидендами'!$J168/'Индекс с Дивидендами'!$C168</f>
        <v>0.1199013135</v>
      </c>
    </row>
    <row r="169" hidden="1">
      <c r="A169" s="14">
        <v>2022.0</v>
      </c>
      <c r="B169" s="15" t="s">
        <v>86</v>
      </c>
      <c r="C169" s="14">
        <v>603.0</v>
      </c>
      <c r="D169" s="14">
        <v>0.0</v>
      </c>
      <c r="E169" s="18">
        <v>3.98279898432E11</v>
      </c>
      <c r="F169" s="14">
        <v>0.22</v>
      </c>
      <c r="G169" s="14">
        <v>1.0</v>
      </c>
      <c r="H169" s="18">
        <v>8.762157765504E10</v>
      </c>
      <c r="I169" s="14">
        <v>0.83</v>
      </c>
      <c r="J169" s="14"/>
      <c r="K169" s="14">
        <f>'Индекс с Дивидендами'!$J169/'Индекс с Дивидендами'!$C169</f>
        <v>0</v>
      </c>
    </row>
    <row r="170" hidden="1">
      <c r="A170" s="14">
        <v>2022.0</v>
      </c>
      <c r="B170" s="15" t="s">
        <v>88</v>
      </c>
      <c r="C170" s="14">
        <f>7680/50</f>
        <v>153.6</v>
      </c>
      <c r="D170" s="14">
        <v>2.9935268E7</v>
      </c>
      <c r="E170" s="18">
        <v>1.045012992E12</v>
      </c>
      <c r="F170" s="14">
        <v>0.22</v>
      </c>
      <c r="G170" s="14">
        <v>1.0</v>
      </c>
      <c r="H170" s="18">
        <v>2.2990285824E11</v>
      </c>
      <c r="I170" s="14">
        <v>2.19</v>
      </c>
      <c r="J170" s="14"/>
      <c r="K170" s="14">
        <f>'Индекс с Дивидендами'!$J170/'Индекс с Дивидендами'!$C170</f>
        <v>0</v>
      </c>
    </row>
    <row r="171" hidden="1">
      <c r="A171" s="14">
        <v>2022.0</v>
      </c>
      <c r="B171" s="15" t="s">
        <v>157</v>
      </c>
      <c r="C171" s="14">
        <v>369.9</v>
      </c>
      <c r="D171" s="14">
        <v>0.0</v>
      </c>
      <c r="E171" s="18">
        <v>1.751943458061E11</v>
      </c>
      <c r="F171" s="14">
        <v>0.71</v>
      </c>
      <c r="G171" s="14">
        <v>1.0</v>
      </c>
      <c r="H171" s="18">
        <v>1.2438798552233E11</v>
      </c>
      <c r="I171" s="14">
        <v>1.19</v>
      </c>
      <c r="J171" s="14"/>
      <c r="K171" s="14">
        <f>'Индекс с Дивидендами'!$J171/'Индекс с Дивидендами'!$C171</f>
        <v>0</v>
      </c>
    </row>
    <row r="172">
      <c r="A172" s="14">
        <v>2022.0</v>
      </c>
      <c r="B172" s="15" t="s">
        <v>130</v>
      </c>
      <c r="C172" s="14">
        <v>1074.6</v>
      </c>
      <c r="D172" s="14">
        <v>0.0</v>
      </c>
      <c r="E172" s="18">
        <v>3.2628144276E12</v>
      </c>
      <c r="F172" s="14">
        <v>0.21</v>
      </c>
      <c r="G172" s="14">
        <v>0.8920187</v>
      </c>
      <c r="H172" s="18">
        <v>6.1120321165033E11</v>
      </c>
      <c r="I172" s="14">
        <v>5.82</v>
      </c>
      <c r="J172" s="14">
        <v>88.77</v>
      </c>
      <c r="K172" s="20">
        <f>'Индекс с Дивидендами'!$J172/'Индекс с Дивидендами'!$C172</f>
        <v>0.08260748185</v>
      </c>
    </row>
    <row r="173">
      <c r="A173" s="14">
        <v>2022.0</v>
      </c>
      <c r="B173" s="15" t="s">
        <v>90</v>
      </c>
      <c r="C173" s="14">
        <v>55.98</v>
      </c>
      <c r="D173" s="14">
        <v>0.0</v>
      </c>
      <c r="E173" s="18">
        <v>1.8378222406542E11</v>
      </c>
      <c r="F173" s="14">
        <v>0.29</v>
      </c>
      <c r="G173" s="14">
        <v>1.0</v>
      </c>
      <c r="H173" s="18">
        <v>5.329684497897E10</v>
      </c>
      <c r="I173" s="14">
        <v>0.51</v>
      </c>
      <c r="J173" s="14">
        <v>4.56</v>
      </c>
      <c r="K173" s="20">
        <f>'Индекс с Дивидендами'!$J173/'Индекс с Дивидендами'!$C173</f>
        <v>0.08145766345</v>
      </c>
    </row>
    <row r="174">
      <c r="A174" s="14">
        <v>2022.0</v>
      </c>
      <c r="B174" s="15" t="s">
        <v>69</v>
      </c>
      <c r="C174" s="14">
        <v>32.915</v>
      </c>
      <c r="D174" s="14">
        <v>2.234866E9</v>
      </c>
      <c r="E174" s="18">
        <v>3.6780307195E11</v>
      </c>
      <c r="F174" s="14">
        <v>0.2</v>
      </c>
      <c r="G174" s="14">
        <v>1.0</v>
      </c>
      <c r="H174" s="18">
        <v>7.356061439E10</v>
      </c>
      <c r="I174" s="14">
        <v>0.7</v>
      </c>
      <c r="J174" s="14">
        <v>2.663</v>
      </c>
      <c r="K174" s="20">
        <f>'Индекс с Дивидендами'!$J174/'Индекс с Дивидендами'!$C174</f>
        <v>0.0809053623</v>
      </c>
    </row>
    <row r="175" hidden="1">
      <c r="A175" s="14">
        <v>2022.0</v>
      </c>
      <c r="B175" s="15" t="s">
        <v>93</v>
      </c>
      <c r="C175" s="14">
        <v>141.21</v>
      </c>
      <c r="D175" s="14">
        <v>0.0</v>
      </c>
      <c r="E175" s="18">
        <v>3.04829292708E12</v>
      </c>
      <c r="F175" s="14">
        <v>0.48</v>
      </c>
      <c r="G175" s="14">
        <v>0.8920187</v>
      </c>
      <c r="H175" s="18">
        <v>1.30518446113588E12</v>
      </c>
      <c r="I175" s="14">
        <v>12.43</v>
      </c>
      <c r="J175" s="14"/>
      <c r="K175" s="14">
        <f>'Индекс с Дивидендами'!$J175/'Индекс с Дивидендами'!$C175</f>
        <v>0</v>
      </c>
    </row>
    <row r="176" hidden="1">
      <c r="A176" s="14">
        <v>2022.0</v>
      </c>
      <c r="B176" s="15" t="s">
        <v>94</v>
      </c>
      <c r="C176" s="14">
        <v>140.56</v>
      </c>
      <c r="D176" s="14">
        <v>8.920187E8</v>
      </c>
      <c r="E176" s="18">
        <v>1.4056E11</v>
      </c>
      <c r="F176" s="14">
        <v>1.0</v>
      </c>
      <c r="G176" s="14">
        <v>0.8920187</v>
      </c>
      <c r="H176" s="18">
        <v>1.25382148472E11</v>
      </c>
      <c r="I176" s="14">
        <v>1.19</v>
      </c>
      <c r="J176" s="14"/>
      <c r="K176" s="14">
        <f>'Индекс с Дивидендами'!$J176/'Индекс с Дивидендами'!$C176</f>
        <v>0</v>
      </c>
    </row>
    <row r="177">
      <c r="A177" s="14">
        <v>2022.0</v>
      </c>
      <c r="B177" s="15" t="s">
        <v>106</v>
      </c>
      <c r="C177" s="14">
        <v>0.7607</v>
      </c>
      <c r="D177" s="14">
        <v>0.0</v>
      </c>
      <c r="E177" s="18">
        <v>3.3416707067933E11</v>
      </c>
      <c r="F177" s="14">
        <v>0.15</v>
      </c>
      <c r="G177" s="14">
        <v>1.0</v>
      </c>
      <c r="H177" s="18">
        <v>5.01250606019E10</v>
      </c>
      <c r="I177" s="14">
        <v>0.48</v>
      </c>
      <c r="J177" s="14">
        <v>0.053</v>
      </c>
      <c r="K177" s="20">
        <f>'Индекс с Дивидендами'!$J177/'Индекс с Дивидендами'!$C177</f>
        <v>0.06967266991</v>
      </c>
    </row>
    <row r="178">
      <c r="A178" s="14">
        <v>2022.0</v>
      </c>
      <c r="B178" s="15" t="s">
        <v>59</v>
      </c>
      <c r="C178" s="14">
        <v>3.4</v>
      </c>
      <c r="D178" s="14">
        <v>3.654E10</v>
      </c>
      <c r="E178" s="18">
        <v>3.5496E11</v>
      </c>
      <c r="F178" s="14">
        <v>0.35</v>
      </c>
      <c r="G178" s="14">
        <v>1.0</v>
      </c>
      <c r="H178" s="18">
        <v>1.24236E11</v>
      </c>
      <c r="I178" s="14">
        <v>1.18</v>
      </c>
      <c r="J178" s="14">
        <v>0.2366</v>
      </c>
      <c r="K178" s="20">
        <f>'Индекс с Дивидендами'!$J178/'Индекс с Дивидендами'!$C178</f>
        <v>0.06958823529</v>
      </c>
    </row>
    <row r="179">
      <c r="A179" s="14">
        <v>2022.0</v>
      </c>
      <c r="B179" s="15" t="s">
        <v>132</v>
      </c>
      <c r="C179" s="14">
        <v>364.0</v>
      </c>
      <c r="D179" s="14">
        <v>0.0</v>
      </c>
      <c r="E179" s="18">
        <v>3.857736725388E12</v>
      </c>
      <c r="F179" s="14">
        <v>0.11</v>
      </c>
      <c r="G179" s="14">
        <v>1.0</v>
      </c>
      <c r="H179" s="18">
        <v>4.2435103979268E11</v>
      </c>
      <c r="I179" s="14">
        <v>4.04</v>
      </c>
      <c r="J179" s="14">
        <v>23.63</v>
      </c>
      <c r="K179" s="20">
        <f>'Индекс с Дивидендами'!$J179/'Индекс с Дивидендами'!$C179</f>
        <v>0.06491758242</v>
      </c>
    </row>
    <row r="180">
      <c r="A180" s="14">
        <v>2022.0</v>
      </c>
      <c r="B180" s="15" t="s">
        <v>141</v>
      </c>
      <c r="C180" s="14">
        <v>21.75</v>
      </c>
      <c r="D180" s="14">
        <v>0.0</v>
      </c>
      <c r="E180" s="18">
        <v>7.7704038483375E11</v>
      </c>
      <c r="F180" s="14">
        <v>0.25</v>
      </c>
      <c r="G180" s="14">
        <v>1.0</v>
      </c>
      <c r="H180" s="18">
        <v>1.9426009620844E11</v>
      </c>
      <c r="I180" s="14">
        <v>1.85</v>
      </c>
      <c r="J180" s="14">
        <v>0.8</v>
      </c>
      <c r="K180" s="20">
        <f>'Индекс с Дивидендами'!$J180/'Индекс с Дивидендами'!$C180</f>
        <v>0.0367816092</v>
      </c>
    </row>
    <row r="181" hidden="1">
      <c r="A181" s="14">
        <v>2022.0</v>
      </c>
      <c r="B181" s="15" t="s">
        <v>180</v>
      </c>
      <c r="C181" s="14">
        <v>2540.0</v>
      </c>
      <c r="D181" s="14">
        <v>0.0</v>
      </c>
      <c r="E181" s="18">
        <v>5.0623594968E11</v>
      </c>
      <c r="F181" s="14">
        <v>0.58</v>
      </c>
      <c r="G181" s="14">
        <v>1.0</v>
      </c>
      <c r="H181" s="18">
        <v>2.936168508144E11</v>
      </c>
      <c r="I181" s="14">
        <v>2.8</v>
      </c>
      <c r="J181" s="14"/>
      <c r="K181" s="14">
        <f>'Индекс с Дивидендами'!$J181/'Индекс с Дивидендами'!$C181</f>
        <v>0</v>
      </c>
    </row>
    <row r="182">
      <c r="A182" s="14">
        <v>2022.0</v>
      </c>
      <c r="B182" s="15" t="s">
        <v>21</v>
      </c>
      <c r="C182" s="14">
        <v>40.12</v>
      </c>
      <c r="D182" s="14">
        <v>0.0</v>
      </c>
      <c r="E182" s="18">
        <v>6.0954375626344E11</v>
      </c>
      <c r="F182" s="14">
        <v>0.18</v>
      </c>
      <c r="G182" s="14">
        <v>1.0</v>
      </c>
      <c r="H182" s="18">
        <v>1.0971787612742E11</v>
      </c>
      <c r="I182" s="14">
        <v>1.05</v>
      </c>
      <c r="J182" s="14">
        <v>1.21</v>
      </c>
      <c r="K182" s="20">
        <f>'Индекс с Дивидендами'!$J182/'Индекс с Дивидендами'!$C182</f>
        <v>0.03015952144</v>
      </c>
    </row>
    <row r="183" hidden="1">
      <c r="A183" s="14">
        <v>2022.0</v>
      </c>
      <c r="B183" s="15" t="s">
        <v>15</v>
      </c>
      <c r="C183" s="14">
        <v>436.4</v>
      </c>
      <c r="D183" s="14">
        <v>0.0</v>
      </c>
      <c r="E183" s="18">
        <v>9.86861113028E10</v>
      </c>
      <c r="F183" s="14">
        <v>0.53</v>
      </c>
      <c r="G183" s="14">
        <v>1.0</v>
      </c>
      <c r="H183" s="18">
        <v>5.230363899048E10</v>
      </c>
      <c r="I183" s="14">
        <v>0.5</v>
      </c>
      <c r="J183" s="14"/>
      <c r="K183" s="14">
        <f>'Индекс с Дивидендами'!$J183/'Индекс с Дивидендами'!$C183</f>
        <v>0</v>
      </c>
    </row>
    <row r="184" hidden="1">
      <c r="A184" s="14">
        <v>2022.0</v>
      </c>
      <c r="B184" s="15" t="s">
        <v>9</v>
      </c>
      <c r="C184" s="14">
        <f>0.01665*5000</f>
        <v>83.25</v>
      </c>
      <c r="D184" s="19">
        <v>0.0</v>
      </c>
      <c r="E184" s="18">
        <v>2.1579301326668E11</v>
      </c>
      <c r="F184" s="14">
        <v>0.36</v>
      </c>
      <c r="G184" s="14">
        <v>1.0</v>
      </c>
      <c r="H184" s="18">
        <v>7.7685484776E10</v>
      </c>
      <c r="I184" s="14">
        <v>0.74</v>
      </c>
      <c r="J184" s="14"/>
      <c r="K184" s="14">
        <f>'Индекс с Дивидендами'!$J184/'Индекс с Дивидендами'!$C184</f>
        <v>0</v>
      </c>
    </row>
    <row r="185" hidden="1">
      <c r="A185" s="14">
        <v>2022.0</v>
      </c>
      <c r="B185" s="15" t="s">
        <v>181</v>
      </c>
      <c r="C185" s="14">
        <v>1816.0</v>
      </c>
      <c r="D185" s="14">
        <v>0.0</v>
      </c>
      <c r="E185" s="18">
        <v>5.92046674056E11</v>
      </c>
      <c r="F185" s="14">
        <v>0.97</v>
      </c>
      <c r="G185" s="14">
        <v>0.9361341</v>
      </c>
      <c r="H185" s="18">
        <v>5.3760802796423E11</v>
      </c>
      <c r="I185" s="14">
        <v>5.12</v>
      </c>
      <c r="J185" s="14"/>
      <c r="K185" s="14">
        <f>'Индекс с Дивидендами'!$J185/'Индекс с Дивидендами'!$C185</f>
        <v>0</v>
      </c>
    </row>
    <row r="186">
      <c r="A186" s="14">
        <v>2021.0</v>
      </c>
      <c r="B186" s="15" t="s">
        <v>82</v>
      </c>
      <c r="C186" s="14">
        <v>217.64</v>
      </c>
      <c r="D186" s="14">
        <v>0.0</v>
      </c>
      <c r="E186" s="18">
        <v>1.3043659765136E12</v>
      </c>
      <c r="F186" s="14">
        <v>0.21</v>
      </c>
      <c r="G186" s="14">
        <v>1.0</v>
      </c>
      <c r="H186" s="18">
        <v>2.7391685506786E11</v>
      </c>
      <c r="I186" s="14">
        <v>1.46</v>
      </c>
      <c r="J186" s="14">
        <v>41.91</v>
      </c>
      <c r="K186" s="20">
        <f>'Индекс с Дивидендами'!$J186/'Индекс с Дивидендами'!$C186</f>
        <v>0.1925657048</v>
      </c>
    </row>
    <row r="187" hidden="1">
      <c r="A187" s="14">
        <v>2021.0</v>
      </c>
      <c r="B187" s="15" t="s">
        <v>39</v>
      </c>
      <c r="C187" s="14">
        <v>58.96</v>
      </c>
      <c r="D187" s="14">
        <v>0.0</v>
      </c>
      <c r="E187" s="18">
        <v>1.4412981001408E11</v>
      </c>
      <c r="F187" s="14">
        <v>0.41</v>
      </c>
      <c r="G187" s="14">
        <v>1.0</v>
      </c>
      <c r="H187" s="18">
        <v>5.909322210577E10</v>
      </c>
      <c r="I187" s="14">
        <v>0.32</v>
      </c>
      <c r="J187" s="14"/>
      <c r="K187" s="14">
        <f>'Индекс с Дивидендами'!$J187/'Индекс с Дивидендами'!$C187</f>
        <v>0</v>
      </c>
    </row>
    <row r="188">
      <c r="A188" s="14">
        <v>2021.0</v>
      </c>
      <c r="B188" s="15" t="s">
        <v>142</v>
      </c>
      <c r="C188" s="14">
        <v>38.48</v>
      </c>
      <c r="D188" s="14">
        <v>0.0</v>
      </c>
      <c r="E188" s="18">
        <v>2.963728920828E11</v>
      </c>
      <c r="F188" s="14">
        <v>0.73</v>
      </c>
      <c r="G188" s="14">
        <v>1.0</v>
      </c>
      <c r="H188" s="18">
        <v>2.1635221122044E11</v>
      </c>
      <c r="I188" s="14">
        <v>1.16</v>
      </c>
      <c r="J188" s="14">
        <v>6.72</v>
      </c>
      <c r="K188" s="20">
        <f>'Индекс с Дивидендами'!$J188/'Индекс с Дивидендами'!$C188</f>
        <v>0.1746361746</v>
      </c>
    </row>
    <row r="189" hidden="1">
      <c r="A189" s="14">
        <v>2021.0</v>
      </c>
      <c r="B189" s="15" t="s">
        <v>4</v>
      </c>
      <c r="C189" s="14">
        <v>6.85</v>
      </c>
      <c r="D189" s="14">
        <v>0.0</v>
      </c>
      <c r="E189" s="18">
        <v>2.289935125821E11</v>
      </c>
      <c r="F189" s="14">
        <v>0.21</v>
      </c>
      <c r="G189" s="14">
        <v>1.0</v>
      </c>
      <c r="H189" s="18">
        <v>4.808863764224E10</v>
      </c>
      <c r="I189" s="14">
        <v>0.26</v>
      </c>
      <c r="J189" s="14"/>
      <c r="K189" s="14">
        <f>'Индекс с Дивидендами'!$J189/'Индекс с Дивидендами'!$C189</f>
        <v>0</v>
      </c>
    </row>
    <row r="190">
      <c r="A190" s="14">
        <v>2021.0</v>
      </c>
      <c r="B190" s="15" t="s">
        <v>96</v>
      </c>
      <c r="C190" s="14">
        <v>1605.2</v>
      </c>
      <c r="D190" s="14">
        <v>0.0</v>
      </c>
      <c r="E190" s="18">
        <v>1.344705993032E12</v>
      </c>
      <c r="F190" s="14">
        <v>0.22</v>
      </c>
      <c r="G190" s="14">
        <v>1.0</v>
      </c>
      <c r="H190" s="18">
        <v>2.9583531846704E11</v>
      </c>
      <c r="I190" s="14">
        <v>1.58</v>
      </c>
      <c r="J190" s="14">
        <v>253.42</v>
      </c>
      <c r="K190" s="20">
        <f>'Индекс с Дивидендами'!$J190/'Индекс с Дивидендами'!$C190</f>
        <v>0.1578744082</v>
      </c>
    </row>
    <row r="191">
      <c r="A191" s="14">
        <v>2021.0</v>
      </c>
      <c r="B191" s="15" t="s">
        <v>7</v>
      </c>
      <c r="C191" s="14">
        <v>122.8</v>
      </c>
      <c r="D191" s="14">
        <v>0.0</v>
      </c>
      <c r="E191" s="18">
        <v>9.04417779364E11</v>
      </c>
      <c r="F191" s="14">
        <v>0.34</v>
      </c>
      <c r="G191" s="14">
        <v>1.0</v>
      </c>
      <c r="H191" s="18">
        <v>3.0750204498376E11</v>
      </c>
      <c r="I191" s="14">
        <v>1.64</v>
      </c>
      <c r="J191" s="14">
        <v>18.33</v>
      </c>
      <c r="K191" s="20">
        <f>'Индекс с Дивидендами'!$J191/'Индекс с Дивидендами'!$C191</f>
        <v>0.149267101</v>
      </c>
    </row>
    <row r="192" hidden="1">
      <c r="A192" s="14">
        <v>2021.0</v>
      </c>
      <c r="B192" s="15" t="s">
        <v>29</v>
      </c>
      <c r="C192" s="14">
        <v>886.5</v>
      </c>
      <c r="D192" s="14">
        <v>0.0</v>
      </c>
      <c r="E192" s="18">
        <v>5.66339546304E11</v>
      </c>
      <c r="F192" s="14">
        <v>0.14</v>
      </c>
      <c r="G192" s="14">
        <v>1.0</v>
      </c>
      <c r="H192" s="18">
        <v>7.928753648256E10</v>
      </c>
      <c r="I192" s="14">
        <v>0.42</v>
      </c>
      <c r="J192" s="14"/>
      <c r="K192" s="14">
        <f>'Индекс с Дивидендами'!$J192/'Индекс с Дивидендами'!$C192</f>
        <v>0</v>
      </c>
    </row>
    <row r="193">
      <c r="A193" s="14">
        <v>2021.0</v>
      </c>
      <c r="B193" s="15" t="s">
        <v>147</v>
      </c>
      <c r="C193" s="14">
        <v>5441.5</v>
      </c>
      <c r="D193" s="14">
        <v>0.0</v>
      </c>
      <c r="E193" s="18">
        <v>5.545506382325E11</v>
      </c>
      <c r="F193" s="14">
        <v>0.67</v>
      </c>
      <c r="G193" s="14">
        <v>1.0</v>
      </c>
      <c r="H193" s="18">
        <v>3.7154892761578E11</v>
      </c>
      <c r="I193" s="14">
        <v>1.98</v>
      </c>
      <c r="J193" s="14">
        <v>784.99</v>
      </c>
      <c r="K193" s="20">
        <f>'Индекс с Дивидендами'!$J193/'Индекс с Дивидендами'!$C193</f>
        <v>0.1442598548</v>
      </c>
    </row>
    <row r="194">
      <c r="A194" s="14">
        <v>2021.0</v>
      </c>
      <c r="B194" s="15" t="s">
        <v>74</v>
      </c>
      <c r="C194" s="14">
        <v>298.6</v>
      </c>
      <c r="D194" s="14">
        <v>0.0</v>
      </c>
      <c r="E194" s="18">
        <v>5.96716738295E11</v>
      </c>
      <c r="F194" s="14">
        <v>0.42</v>
      </c>
      <c r="G194" s="14">
        <v>1.0</v>
      </c>
      <c r="H194" s="18">
        <v>2.506210300839E11</v>
      </c>
      <c r="I194" s="14">
        <v>1.34</v>
      </c>
      <c r="J194" s="14">
        <v>37.06</v>
      </c>
      <c r="K194" s="20">
        <f>'Индекс с Дивидендами'!$J194/'Индекс с Дивидендами'!$C194</f>
        <v>0.1241125251</v>
      </c>
    </row>
    <row r="195" hidden="1">
      <c r="A195" s="14">
        <v>2021.0</v>
      </c>
      <c r="B195" s="15" t="s">
        <v>182</v>
      </c>
      <c r="C195" s="14">
        <v>543.1</v>
      </c>
      <c r="D195" s="14">
        <v>2.295E8</v>
      </c>
      <c r="E195" s="18">
        <v>4.61635E11</v>
      </c>
      <c r="F195" s="14">
        <v>0.27</v>
      </c>
      <c r="G195" s="14">
        <v>1.0</v>
      </c>
      <c r="H195" s="18">
        <v>1.2464145E11</v>
      </c>
      <c r="I195" s="14">
        <v>0.67</v>
      </c>
      <c r="J195" s="14"/>
      <c r="K195" s="14">
        <f>'Индекс с Дивидендами'!$J195/'Индекс с Дивидендами'!$C195</f>
        <v>0</v>
      </c>
    </row>
    <row r="196">
      <c r="A196" s="14">
        <v>2021.0</v>
      </c>
      <c r="B196" s="15" t="s">
        <v>108</v>
      </c>
      <c r="C196" s="14">
        <v>0.16214</v>
      </c>
      <c r="D196" s="14">
        <v>0.0</v>
      </c>
      <c r="E196" s="18">
        <v>2.0667423548143E11</v>
      </c>
      <c r="F196" s="14">
        <v>0.18</v>
      </c>
      <c r="G196" s="14">
        <v>1.0</v>
      </c>
      <c r="H196" s="18">
        <v>3.720136238666E10</v>
      </c>
      <c r="I196" s="14">
        <v>0.2</v>
      </c>
      <c r="J196" s="14">
        <v>0.0161</v>
      </c>
      <c r="K196" s="20">
        <f>'Индекс с Дивидендами'!$J196/'Индекс с Дивидендами'!$C196</f>
        <v>0.09929690391</v>
      </c>
    </row>
    <row r="197">
      <c r="A197" s="14">
        <v>2021.0</v>
      </c>
      <c r="B197" s="15" t="s">
        <v>69</v>
      </c>
      <c r="C197" s="14">
        <v>69.44</v>
      </c>
      <c r="D197" s="14">
        <v>2.234866E9</v>
      </c>
      <c r="E197" s="18">
        <v>7.759454752E11</v>
      </c>
      <c r="F197" s="14">
        <v>0.2</v>
      </c>
      <c r="G197" s="14">
        <v>1.0</v>
      </c>
      <c r="H197" s="18">
        <v>1.5518909504E11</v>
      </c>
      <c r="I197" s="14">
        <v>0.83</v>
      </c>
      <c r="J197" s="14">
        <v>6.866</v>
      </c>
      <c r="K197" s="20">
        <f>'Индекс с Дивидендами'!$J197/'Индекс с Дивидендами'!$C197</f>
        <v>0.09887672811</v>
      </c>
    </row>
    <row r="198">
      <c r="A198" s="14">
        <v>2021.0</v>
      </c>
      <c r="B198" s="15" t="s">
        <v>112</v>
      </c>
      <c r="C198" s="14">
        <v>5833.0</v>
      </c>
      <c r="D198" s="14">
        <v>3.2375E7</v>
      </c>
      <c r="E198" s="18">
        <v>7.553735E11</v>
      </c>
      <c r="F198" s="14">
        <v>0.25</v>
      </c>
      <c r="G198" s="14">
        <v>1.0</v>
      </c>
      <c r="H198" s="18">
        <v>1.88843375E11</v>
      </c>
      <c r="I198" s="14">
        <v>1.01</v>
      </c>
      <c r="J198" s="14">
        <v>558.0</v>
      </c>
      <c r="K198" s="20">
        <f>'Индекс с Дивидендами'!$J198/'Индекс с Дивидендами'!$C198</f>
        <v>0.09566260929</v>
      </c>
    </row>
    <row r="199">
      <c r="A199" s="14">
        <v>2021.0</v>
      </c>
      <c r="B199" s="15" t="s">
        <v>166</v>
      </c>
      <c r="C199" s="14">
        <v>1961.5</v>
      </c>
      <c r="D199" s="14">
        <v>0.0</v>
      </c>
      <c r="E199" s="18">
        <v>5.32690188428E11</v>
      </c>
      <c r="F199" s="14">
        <v>0.41</v>
      </c>
      <c r="G199" s="14">
        <v>1.0</v>
      </c>
      <c r="H199" s="18">
        <v>2.1840297725548E11</v>
      </c>
      <c r="I199" s="14">
        <v>1.17</v>
      </c>
      <c r="J199" s="14">
        <v>184.14</v>
      </c>
      <c r="K199" s="20">
        <f>'Индекс с Дивидендами'!$J199/'Индекс с Дивидендами'!$C199</f>
        <v>0.09387713485</v>
      </c>
    </row>
    <row r="200">
      <c r="A200" s="14">
        <v>2021.0</v>
      </c>
      <c r="B200" s="15" t="s">
        <v>164</v>
      </c>
      <c r="C200" s="14">
        <v>124.76</v>
      </c>
      <c r="D200" s="14">
        <v>5.0991E8</v>
      </c>
      <c r="E200" s="18">
        <v>9.219764E10</v>
      </c>
      <c r="F200" s="14">
        <v>0.69</v>
      </c>
      <c r="G200" s="14">
        <v>1.0</v>
      </c>
      <c r="H200" s="18">
        <v>6.36163716E10</v>
      </c>
      <c r="I200" s="14">
        <v>0.34</v>
      </c>
      <c r="J200" s="14">
        <v>11.27</v>
      </c>
      <c r="K200" s="20">
        <f>'Индекс с Дивидендами'!$J200/'Индекс с Дивидендами'!$C200</f>
        <v>0.09033344021</v>
      </c>
    </row>
    <row r="201">
      <c r="A201" s="14">
        <v>2021.0</v>
      </c>
      <c r="B201" s="15" t="s">
        <v>78</v>
      </c>
      <c r="C201" s="14">
        <v>6570.0</v>
      </c>
      <c r="D201" s="14">
        <v>0.0</v>
      </c>
      <c r="E201" s="18">
        <v>4.55212805634E12</v>
      </c>
      <c r="F201" s="14">
        <v>0.55</v>
      </c>
      <c r="G201" s="14">
        <v>0.8726247</v>
      </c>
      <c r="H201" s="18">
        <v>1.8476465873866E11</v>
      </c>
      <c r="I201" s="14">
        <v>11.67</v>
      </c>
      <c r="J201" s="14">
        <v>553.0</v>
      </c>
      <c r="K201" s="20">
        <f>'Индекс с Дивидендами'!$J201/'Индекс с Дивидендами'!$C201</f>
        <v>0.08417047184</v>
      </c>
    </row>
    <row r="202">
      <c r="A202" s="14">
        <v>2021.0</v>
      </c>
      <c r="B202" s="15" t="s">
        <v>168</v>
      </c>
      <c r="C202" s="14">
        <v>647.0</v>
      </c>
      <c r="D202" s="14">
        <v>0.0</v>
      </c>
      <c r="E202" s="18">
        <v>1.15645372652E11</v>
      </c>
      <c r="F202" s="14">
        <v>0.57</v>
      </c>
      <c r="G202" s="14">
        <v>1.0</v>
      </c>
      <c r="H202" s="18">
        <v>6.591786241164E10</v>
      </c>
      <c r="I202" s="14">
        <v>0.35</v>
      </c>
      <c r="J202" s="14">
        <v>50.5</v>
      </c>
      <c r="K202" s="20">
        <f>'Индекс с Дивидендами'!$J202/'Индекс с Дивидендами'!$C202</f>
        <v>0.07805255023</v>
      </c>
    </row>
    <row r="203">
      <c r="A203" s="14">
        <v>2021.0</v>
      </c>
      <c r="B203" s="15" t="s">
        <v>157</v>
      </c>
      <c r="C203" s="14">
        <v>1312.5</v>
      </c>
      <c r="D203" s="14">
        <v>0.0</v>
      </c>
      <c r="E203" s="18">
        <v>6.215688373125E11</v>
      </c>
      <c r="F203" s="14">
        <v>0.71</v>
      </c>
      <c r="G203" s="14">
        <v>1.0</v>
      </c>
      <c r="H203" s="18">
        <v>4.4131387449188E11</v>
      </c>
      <c r="I203" s="14">
        <v>2.36</v>
      </c>
      <c r="J203" s="14">
        <v>99.5</v>
      </c>
      <c r="K203" s="20">
        <f>'Индекс с Дивидендами'!$J203/'Индекс с Дивидендами'!$C203</f>
        <v>0.07580952381</v>
      </c>
    </row>
    <row r="204">
      <c r="A204" s="14">
        <v>2021.0</v>
      </c>
      <c r="B204" s="15" t="s">
        <v>106</v>
      </c>
      <c r="C204" s="14">
        <v>0.742</v>
      </c>
      <c r="D204" s="14">
        <v>0.0</v>
      </c>
      <c r="E204" s="18">
        <v>3.2595236813996E11</v>
      </c>
      <c r="F204" s="14">
        <v>0.25</v>
      </c>
      <c r="G204" s="14">
        <v>1.0</v>
      </c>
      <c r="H204" s="18">
        <v>8.148809203499E10</v>
      </c>
      <c r="I204" s="14">
        <v>0.44</v>
      </c>
      <c r="J204" s="14">
        <v>0.053</v>
      </c>
      <c r="K204" s="20">
        <f>'Индекс с Дивидендами'!$J204/'Индекс с Дивидендами'!$C204</f>
        <v>0.07142857143</v>
      </c>
    </row>
    <row r="205">
      <c r="A205" s="14">
        <v>2021.0</v>
      </c>
      <c r="B205" s="15" t="s">
        <v>94</v>
      </c>
      <c r="C205" s="14">
        <v>278.15</v>
      </c>
      <c r="D205" s="14">
        <v>8.025736E8</v>
      </c>
      <c r="E205" s="18">
        <v>2.7815E11</v>
      </c>
      <c r="F205" s="14">
        <v>1.0</v>
      </c>
      <c r="G205" s="14">
        <v>0.8025736</v>
      </c>
      <c r="H205" s="18">
        <v>2.2323584684E11</v>
      </c>
      <c r="I205" s="14">
        <v>1.19</v>
      </c>
      <c r="J205" s="14">
        <v>18.7</v>
      </c>
      <c r="K205" s="20">
        <f>'Индекс с Дивидендами'!$J205/'Индекс с Дивидендами'!$C205</f>
        <v>0.06722991192</v>
      </c>
    </row>
    <row r="206">
      <c r="A206" s="14">
        <v>2021.0</v>
      </c>
      <c r="B206" s="15" t="s">
        <v>93</v>
      </c>
      <c r="C206" s="14">
        <v>293.62</v>
      </c>
      <c r="D206" s="14">
        <v>0.0</v>
      </c>
      <c r="E206" s="18">
        <v>6.33835967176E12</v>
      </c>
      <c r="F206" s="14">
        <v>0.48</v>
      </c>
      <c r="G206" s="14">
        <v>0.8025736</v>
      </c>
      <c r="H206" s="18">
        <v>2.44176006713242E12</v>
      </c>
      <c r="I206" s="14">
        <v>13.04</v>
      </c>
      <c r="J206" s="14">
        <v>18.7</v>
      </c>
      <c r="K206" s="20">
        <f>'Индекс с Дивидендами'!$J206/'Индекс с Дивидендами'!$C206</f>
        <v>0.06368775969</v>
      </c>
    </row>
    <row r="207">
      <c r="A207" s="14">
        <v>2021.0</v>
      </c>
      <c r="B207" s="15" t="s">
        <v>137</v>
      </c>
      <c r="C207" s="14">
        <v>459.3</v>
      </c>
      <c r="D207" s="14">
        <v>1.475085E8</v>
      </c>
      <c r="E207" s="18">
        <v>6.775065405E10</v>
      </c>
      <c r="F207" s="14">
        <v>1.0</v>
      </c>
      <c r="G207" s="14">
        <v>1.0</v>
      </c>
      <c r="H207" s="18">
        <v>6.775065405E10</v>
      </c>
      <c r="I207" s="14">
        <v>0.36</v>
      </c>
      <c r="J207" s="14">
        <v>28.82</v>
      </c>
      <c r="K207" s="20">
        <f>'Индекс с Дивидендами'!$J207/'Индекс с Дивидендами'!$C207</f>
        <v>0.06274765948</v>
      </c>
    </row>
    <row r="208">
      <c r="A208" s="14">
        <v>2021.0</v>
      </c>
      <c r="B208" s="15" t="s">
        <v>76</v>
      </c>
      <c r="C208" s="14">
        <v>153.18</v>
      </c>
      <c r="D208" s="14">
        <v>0.0</v>
      </c>
      <c r="E208" s="18">
        <v>3.4869917533644E11</v>
      </c>
      <c r="F208" s="14">
        <v>0.63</v>
      </c>
      <c r="G208" s="14">
        <v>1.0</v>
      </c>
      <c r="H208" s="18">
        <v>2.1968048046196E11</v>
      </c>
      <c r="I208" s="14">
        <v>1.17</v>
      </c>
      <c r="J208" s="14">
        <v>9.45</v>
      </c>
      <c r="K208" s="20">
        <f>'Индекс с Дивидендами'!$J208/'Индекс с Дивидендами'!$C208</f>
        <v>0.06169212691</v>
      </c>
    </row>
    <row r="209" hidden="1">
      <c r="A209" s="14">
        <v>2021.0</v>
      </c>
      <c r="B209" s="15" t="s">
        <v>17</v>
      </c>
      <c r="C209" s="14">
        <v>2278.5</v>
      </c>
      <c r="D209" s="14">
        <v>0.0</v>
      </c>
      <c r="E209" s="18">
        <v>4.64198709303E11</v>
      </c>
      <c r="F209" s="14">
        <v>0.27</v>
      </c>
      <c r="G209" s="14">
        <v>1.0</v>
      </c>
      <c r="H209" s="18">
        <v>1.2533365151181E11</v>
      </c>
      <c r="I209" s="14">
        <v>0.67</v>
      </c>
      <c r="J209" s="14"/>
      <c r="K209" s="14">
        <f>'Индекс с Дивидендами'!$J209/'Индекс с Дивидендами'!$C209</f>
        <v>0</v>
      </c>
    </row>
    <row r="210">
      <c r="A210" s="14">
        <v>2021.0</v>
      </c>
      <c r="B210" s="15" t="s">
        <v>104</v>
      </c>
      <c r="C210" s="14">
        <f>158800/100</f>
        <v>1588</v>
      </c>
      <c r="D210" s="14">
        <v>0.0</v>
      </c>
      <c r="E210" s="18">
        <v>2.4691415E11</v>
      </c>
      <c r="F210" s="14">
        <v>0.37</v>
      </c>
      <c r="G210" s="14">
        <v>1.0</v>
      </c>
      <c r="H210" s="18">
        <v>9.13582355E10</v>
      </c>
      <c r="I210" s="14">
        <v>0.49</v>
      </c>
      <c r="J210" s="14">
        <f>9224.28/100</f>
        <v>92.2428</v>
      </c>
      <c r="K210" s="20">
        <f>'Индекс с Дивидендами'!$J210/'Индекс с Дивидендами'!$C210</f>
        <v>0.05808740554</v>
      </c>
    </row>
    <row r="211">
      <c r="A211" s="14">
        <v>2021.0</v>
      </c>
      <c r="B211" s="15" t="s">
        <v>136</v>
      </c>
      <c r="C211" s="14">
        <v>500.5</v>
      </c>
      <c r="D211" s="14">
        <v>6.97181024E8</v>
      </c>
      <c r="E211" s="18">
        <v>1.09043469535E12</v>
      </c>
      <c r="F211" s="14">
        <v>0.32</v>
      </c>
      <c r="G211" s="14">
        <v>1.0</v>
      </c>
      <c r="H211" s="18">
        <v>3.48939102512E11</v>
      </c>
      <c r="I211" s="14">
        <v>1.86</v>
      </c>
      <c r="J211" s="14">
        <v>28.82</v>
      </c>
      <c r="K211" s="20">
        <f>'Индекс с Дивидендами'!$J211/'Индекс с Дивидендами'!$C211</f>
        <v>0.05758241758</v>
      </c>
    </row>
    <row r="212">
      <c r="A212" s="14">
        <v>2021.0</v>
      </c>
      <c r="B212" s="15" t="s">
        <v>90</v>
      </c>
      <c r="C212" s="14">
        <v>87.22</v>
      </c>
      <c r="D212" s="14">
        <v>0.0</v>
      </c>
      <c r="E212" s="18">
        <v>2.8634307936738E11</v>
      </c>
      <c r="F212" s="14">
        <v>0.29</v>
      </c>
      <c r="G212" s="14">
        <v>1.0</v>
      </c>
      <c r="H212" s="18">
        <v>8.303949301654E10</v>
      </c>
      <c r="I212" s="14">
        <v>0.44</v>
      </c>
      <c r="J212" s="14">
        <v>5.0</v>
      </c>
      <c r="K212" s="20">
        <f>'Индекс с Дивидендами'!$J212/'Индекс с Дивидендами'!$C212</f>
        <v>0.05732630131</v>
      </c>
    </row>
    <row r="213" hidden="1">
      <c r="A213" s="14">
        <v>2021.0</v>
      </c>
      <c r="B213" s="15" t="s">
        <v>183</v>
      </c>
      <c r="C213" s="14">
        <v>19.345</v>
      </c>
      <c r="D213" s="14">
        <v>0.0</v>
      </c>
      <c r="E213" s="18">
        <v>7.655339306363E10</v>
      </c>
      <c r="F213" s="14">
        <v>0.65</v>
      </c>
      <c r="G213" s="14">
        <v>1.0</v>
      </c>
      <c r="H213" s="18">
        <v>4.975970549136E10</v>
      </c>
      <c r="I213" s="14">
        <v>0.27</v>
      </c>
      <c r="J213" s="14"/>
      <c r="K213" s="14">
        <f>'Индекс с Дивидендами'!$J213/'Индекс с Дивидендами'!$C213</f>
        <v>0</v>
      </c>
    </row>
    <row r="214">
      <c r="A214" s="14">
        <v>2021.0</v>
      </c>
      <c r="B214" s="15" t="s">
        <v>88</v>
      </c>
      <c r="C214" s="14">
        <f>13075/50</f>
        <v>261.5</v>
      </c>
      <c r="D214" s="14">
        <v>2.8574574E7</v>
      </c>
      <c r="E214" s="18">
        <v>1.779107405E12</v>
      </c>
      <c r="F214" s="14">
        <v>0.22</v>
      </c>
      <c r="G214" s="14">
        <v>1.0</v>
      </c>
      <c r="H214" s="18">
        <v>3.7361255505E11</v>
      </c>
      <c r="I214" s="14">
        <v>2.0</v>
      </c>
      <c r="J214" s="14">
        <f>654.63/50</f>
        <v>13.0926</v>
      </c>
      <c r="K214" s="20">
        <f>'Индекс с Дивидендами'!$J214/'Индекс с Дивидендами'!$C214</f>
        <v>0.05006730402</v>
      </c>
    </row>
    <row r="215">
      <c r="A215" s="14">
        <v>2021.0</v>
      </c>
      <c r="B215" s="15" t="s">
        <v>45</v>
      </c>
      <c r="C215" s="14">
        <f>22828/100</f>
        <v>228.28</v>
      </c>
      <c r="D215" s="14">
        <v>0.0</v>
      </c>
      <c r="E215" s="18">
        <v>3.612427726128E12</v>
      </c>
      <c r="F215" s="14">
        <v>0.38</v>
      </c>
      <c r="G215" s="14">
        <v>0.8726247</v>
      </c>
      <c r="H215" s="18">
        <v>1.19787159109738E12</v>
      </c>
      <c r="I215" s="14">
        <v>6.4</v>
      </c>
      <c r="J215" s="14">
        <f>1021.22/100</f>
        <v>10.2122</v>
      </c>
      <c r="K215" s="20">
        <f>'Индекс с Дивидендами'!$J215/'Индекс с Дивидендами'!$C215</f>
        <v>0.04473541265</v>
      </c>
    </row>
    <row r="216">
      <c r="A216" s="14">
        <v>2021.0</v>
      </c>
      <c r="B216" s="15" t="s">
        <v>59</v>
      </c>
      <c r="C216" s="14">
        <v>4.2725</v>
      </c>
      <c r="D216" s="14">
        <v>3.4452E10</v>
      </c>
      <c r="E216" s="18">
        <v>4.46049E11</v>
      </c>
      <c r="F216" s="14">
        <v>0.33</v>
      </c>
      <c r="G216" s="14">
        <v>1.0</v>
      </c>
      <c r="H216" s="18">
        <v>1.4719617E11</v>
      </c>
      <c r="I216" s="14">
        <v>0.79</v>
      </c>
      <c r="J216" s="14">
        <v>0.1807</v>
      </c>
      <c r="K216" s="20">
        <f>'Индекс с Дивидендами'!$J216/'Индекс с Дивидендами'!$C216</f>
        <v>0.04229373903</v>
      </c>
    </row>
    <row r="217" hidden="1">
      <c r="A217" s="14">
        <v>2021.0</v>
      </c>
      <c r="B217" s="15" t="s">
        <v>21</v>
      </c>
      <c r="C217" s="14">
        <v>74.0</v>
      </c>
      <c r="D217" s="14">
        <v>0.0</v>
      </c>
      <c r="E217" s="18">
        <v>1.124283099788E12</v>
      </c>
      <c r="F217" s="14">
        <v>0.17</v>
      </c>
      <c r="G217" s="14">
        <v>1.0</v>
      </c>
      <c r="H217" s="18">
        <v>1.9112812696396E11</v>
      </c>
      <c r="I217" s="14">
        <v>1.02</v>
      </c>
      <c r="J217" s="14"/>
      <c r="K217" s="14">
        <f>'Индекс с Дивидендами'!$J217/'Индекс с Дивидендами'!$C217</f>
        <v>0</v>
      </c>
    </row>
    <row r="218">
      <c r="A218" s="14">
        <v>2021.0</v>
      </c>
      <c r="B218" s="15" t="s">
        <v>132</v>
      </c>
      <c r="C218" s="14">
        <v>599.9</v>
      </c>
      <c r="D218" s="14">
        <v>0.0</v>
      </c>
      <c r="E218" s="18">
        <v>6.3578468724183E12</v>
      </c>
      <c r="F218" s="14">
        <v>0.11</v>
      </c>
      <c r="G218" s="14">
        <v>1.0</v>
      </c>
      <c r="H218" s="18">
        <v>6.9936315596601E11</v>
      </c>
      <c r="I218" s="14">
        <v>3.73</v>
      </c>
      <c r="J218" s="14">
        <v>24.97</v>
      </c>
      <c r="K218" s="20">
        <f>'Индекс с Дивидендами'!$J218/'Индекс с Дивидендами'!$C218</f>
        <v>0.04162360393</v>
      </c>
    </row>
    <row r="219">
      <c r="A219" s="14">
        <v>2021.0</v>
      </c>
      <c r="B219" s="15" t="s">
        <v>86</v>
      </c>
      <c r="C219" s="14">
        <v>1110.0</v>
      </c>
      <c r="D219" s="14">
        <v>0.0</v>
      </c>
      <c r="E219" s="18">
        <v>7.3315205184E11</v>
      </c>
      <c r="F219" s="14">
        <v>0.22</v>
      </c>
      <c r="G219" s="14">
        <v>1.0</v>
      </c>
      <c r="H219" s="18">
        <v>1.612934514048E11</v>
      </c>
      <c r="I219" s="14">
        <v>0.86</v>
      </c>
      <c r="J219" s="14">
        <v>45.43</v>
      </c>
      <c r="K219" s="20">
        <f>'Индекс с Дивидендами'!$J219/'Индекс с Дивидендами'!$C219</f>
        <v>0.04092792793</v>
      </c>
    </row>
    <row r="220">
      <c r="A220" s="14">
        <v>2021.0</v>
      </c>
      <c r="B220" s="15" t="s">
        <v>43</v>
      </c>
      <c r="C220" s="14">
        <v>343.28</v>
      </c>
      <c r="D220" s="14">
        <v>0.0</v>
      </c>
      <c r="E220" s="18">
        <v>8.126643508312E12</v>
      </c>
      <c r="F220" s="14">
        <v>0.5</v>
      </c>
      <c r="G220" s="14">
        <v>0.7208006</v>
      </c>
      <c r="H220" s="18">
        <v>2.92884475838871E12</v>
      </c>
      <c r="I220" s="14">
        <v>15.64</v>
      </c>
      <c r="J220" s="14">
        <v>12.55</v>
      </c>
      <c r="K220" s="20">
        <f>'Индекс с Дивидендами'!$J220/'Индекс с Дивидендами'!$C220</f>
        <v>0.03655907714</v>
      </c>
    </row>
    <row r="221">
      <c r="A221" s="14">
        <v>2021.0</v>
      </c>
      <c r="B221" s="15" t="s">
        <v>130</v>
      </c>
      <c r="C221" s="14">
        <v>1720.0</v>
      </c>
      <c r="D221" s="14">
        <v>6.3762426E8</v>
      </c>
      <c r="E221" s="18">
        <v>5.22244632E12</v>
      </c>
      <c r="F221" s="14">
        <v>0.21</v>
      </c>
      <c r="G221" s="14">
        <v>1.0</v>
      </c>
      <c r="H221" s="18">
        <v>1.0967137272E12</v>
      </c>
      <c r="I221" s="14">
        <v>5.86</v>
      </c>
      <c r="J221" s="14">
        <v>51.41</v>
      </c>
      <c r="K221" s="20">
        <f>'Индекс с Дивидендами'!$J221/'Индекс с Дивидендами'!$C221</f>
        <v>0.02988953488</v>
      </c>
    </row>
    <row r="222">
      <c r="A222" s="14">
        <v>2021.0</v>
      </c>
      <c r="B222" s="15" t="s">
        <v>9</v>
      </c>
      <c r="C222" s="14">
        <f>0.0483*5000</f>
        <v>241.5</v>
      </c>
      <c r="D222" s="19">
        <v>0.0</v>
      </c>
      <c r="E222" s="18">
        <v>6.2599414659343E11</v>
      </c>
      <c r="F222" s="14">
        <v>0.36</v>
      </c>
      <c r="G222" s="14">
        <v>1.0</v>
      </c>
      <c r="H222" s="18">
        <v>2.2535789277363E11</v>
      </c>
      <c r="I222" s="14">
        <v>1.2</v>
      </c>
      <c r="J222" s="14">
        <f>0.0014*5000</f>
        <v>7</v>
      </c>
      <c r="K222" s="20">
        <f>'Индекс с Дивидендами'!$J222/'Индекс с Дивидендами'!$C222</f>
        <v>0.02898550725</v>
      </c>
    </row>
    <row r="223">
      <c r="A223" s="14">
        <v>2021.0</v>
      </c>
      <c r="B223" s="15" t="s">
        <v>141</v>
      </c>
      <c r="C223" s="14">
        <v>39.78</v>
      </c>
      <c r="D223" s="14">
        <v>0.0</v>
      </c>
      <c r="E223" s="18">
        <v>1.4211800693649E12</v>
      </c>
      <c r="F223" s="14">
        <v>0.25</v>
      </c>
      <c r="G223" s="14">
        <v>1.0</v>
      </c>
      <c r="H223" s="18">
        <v>3.5529501734123E11</v>
      </c>
      <c r="I223" s="14">
        <v>1.9</v>
      </c>
      <c r="J223" s="14">
        <v>0.7</v>
      </c>
      <c r="K223" s="20">
        <f>'Индекс с Дивидендами'!$J223/'Индекс с Дивидендами'!$C223</f>
        <v>0.0175967823</v>
      </c>
    </row>
    <row r="224" hidden="1">
      <c r="A224" s="14">
        <v>2021.0</v>
      </c>
      <c r="B224" s="15" t="s">
        <v>180</v>
      </c>
      <c r="C224" s="14">
        <v>6102.6</v>
      </c>
      <c r="D224" s="14">
        <v>0.0</v>
      </c>
      <c r="E224" s="18">
        <v>1.2162816954792E12</v>
      </c>
      <c r="F224" s="14">
        <v>0.58</v>
      </c>
      <c r="G224" s="14">
        <v>1.0</v>
      </c>
      <c r="H224" s="18">
        <v>7.0544338337794E11</v>
      </c>
      <c r="I224" s="14">
        <v>3.77</v>
      </c>
      <c r="J224" s="14"/>
      <c r="K224" s="14">
        <f>'Индекс с Дивидендами'!$J224/'Индекс с Дивидендами'!$C224</f>
        <v>0</v>
      </c>
    </row>
    <row r="225">
      <c r="A225" s="14">
        <v>2021.0</v>
      </c>
      <c r="B225" s="15" t="s">
        <v>37</v>
      </c>
      <c r="C225" s="14">
        <v>23.443</v>
      </c>
      <c r="D225" s="14">
        <v>3.1845E9</v>
      </c>
      <c r="E225" s="18">
        <v>2.2622495E11</v>
      </c>
      <c r="F225" s="14">
        <v>0.33</v>
      </c>
      <c r="G225" s="14">
        <v>1.0</v>
      </c>
      <c r="H225" s="18">
        <v>7.46542335E10</v>
      </c>
      <c r="I225" s="14">
        <v>0.4</v>
      </c>
      <c r="J225" s="14">
        <v>0.31</v>
      </c>
      <c r="K225" s="20">
        <f>'Индекс с Дивидендами'!$J225/'Индекс с Дивидендами'!$C225</f>
        <v>0.01322356354</v>
      </c>
    </row>
    <row r="226" hidden="1">
      <c r="A226" s="14">
        <v>2021.0</v>
      </c>
      <c r="B226" s="15" t="s">
        <v>15</v>
      </c>
      <c r="C226" s="14">
        <v>872.0</v>
      </c>
      <c r="D226" s="14">
        <v>0.0</v>
      </c>
      <c r="E226" s="18">
        <v>1.96697915488E11</v>
      </c>
      <c r="F226" s="14">
        <v>0.53</v>
      </c>
      <c r="G226" s="14">
        <v>1.0</v>
      </c>
      <c r="H226" s="18">
        <v>1.0424989520864E11</v>
      </c>
      <c r="I226" s="14">
        <v>0.56</v>
      </c>
      <c r="J226" s="14"/>
      <c r="K226" s="14">
        <f>'Индекс с Дивидендами'!$J226/'Индекс с Дивидендами'!$C226</f>
        <v>0</v>
      </c>
    </row>
    <row r="227">
      <c r="A227" s="14">
        <v>2021.0</v>
      </c>
      <c r="B227" s="15" t="s">
        <v>169</v>
      </c>
      <c r="C227" s="14">
        <v>3836.0</v>
      </c>
      <c r="D227" s="14">
        <v>0.0</v>
      </c>
      <c r="E227" s="18">
        <v>1.9423862192E11</v>
      </c>
      <c r="F227" s="14">
        <v>0.59</v>
      </c>
      <c r="G227" s="14">
        <v>1.0</v>
      </c>
      <c r="H227" s="18">
        <v>1.146007869328E11</v>
      </c>
      <c r="I227" s="14">
        <v>0.61</v>
      </c>
      <c r="J227" s="14">
        <v>40.4</v>
      </c>
      <c r="K227" s="20">
        <f>'Индекс с Дивидендами'!$J227/'Индекс с Дивидендами'!$C227</f>
        <v>0.01053180396</v>
      </c>
    </row>
    <row r="228" hidden="1">
      <c r="A228" s="14">
        <v>2021.0</v>
      </c>
      <c r="B228" s="15" t="s">
        <v>181</v>
      </c>
      <c r="C228" s="14">
        <v>4514.4</v>
      </c>
      <c r="D228" s="14">
        <v>0.0</v>
      </c>
      <c r="E228" s="18">
        <v>1.4617648823976E12</v>
      </c>
      <c r="F228" s="14">
        <v>0.97</v>
      </c>
      <c r="G228" s="14">
        <v>0.8726247</v>
      </c>
      <c r="H228" s="18">
        <v>1.23730497771349E12</v>
      </c>
      <c r="I228" s="14">
        <v>6.61</v>
      </c>
      <c r="J228" s="14"/>
      <c r="K228" s="14">
        <f>'Индекс с Дивидендами'!$J228/'Индекс с Дивидендами'!$C228</f>
        <v>0</v>
      </c>
    </row>
    <row r="229">
      <c r="A229" s="14">
        <v>2020.0</v>
      </c>
      <c r="B229" s="15" t="s">
        <v>74</v>
      </c>
      <c r="C229" s="14">
        <v>330.65</v>
      </c>
      <c r="D229" s="14">
        <v>0.0</v>
      </c>
      <c r="E229" s="18">
        <v>6.6076486777375E11</v>
      </c>
      <c r="F229" s="14">
        <v>0.45</v>
      </c>
      <c r="G229" s="14">
        <v>1.0</v>
      </c>
      <c r="H229" s="18">
        <v>2.9734419049819E11</v>
      </c>
      <c r="I229" s="14">
        <v>1.78</v>
      </c>
      <c r="J229" s="14">
        <v>42.75</v>
      </c>
      <c r="K229" s="20">
        <f>'Индекс с Дивидендами'!$J229/'Индекс с Дивидендами'!$C229</f>
        <v>0.1292907909</v>
      </c>
    </row>
    <row r="230" hidden="1">
      <c r="A230" s="14">
        <v>2020.0</v>
      </c>
      <c r="B230" s="15" t="s">
        <v>39</v>
      </c>
      <c r="C230" s="14">
        <v>71.18</v>
      </c>
      <c r="D230" s="14">
        <v>0.0</v>
      </c>
      <c r="E230" s="18">
        <v>1.7400203318864E11</v>
      </c>
      <c r="F230" s="14">
        <v>0.41</v>
      </c>
      <c r="G230" s="14">
        <v>1.0</v>
      </c>
      <c r="H230" s="18">
        <v>7.134083360734E10</v>
      </c>
      <c r="I230" s="14">
        <v>0.43</v>
      </c>
      <c r="J230" s="14"/>
      <c r="K230" s="14">
        <f>'Индекс с Дивидендами'!$J230/'Индекс с Дивидендами'!$C230</f>
        <v>0</v>
      </c>
    </row>
    <row r="231">
      <c r="A231" s="14">
        <v>2020.0</v>
      </c>
      <c r="B231" s="15" t="s">
        <v>167</v>
      </c>
      <c r="C231" s="14">
        <v>761.0</v>
      </c>
      <c r="D231" s="14">
        <v>0.0</v>
      </c>
      <c r="E231" s="18">
        <v>3.9181802577E10</v>
      </c>
      <c r="F231" s="14">
        <v>0.57</v>
      </c>
      <c r="G231" s="14">
        <v>1.0</v>
      </c>
      <c r="H231" s="18">
        <v>2.233362746889E10</v>
      </c>
      <c r="I231" s="14">
        <v>0.13</v>
      </c>
      <c r="J231" s="14">
        <v>77.5</v>
      </c>
      <c r="K231" s="20">
        <f>'Индекс с Дивидендами'!$J231/'Индекс с Дивидендами'!$C231</f>
        <v>0.1018396846</v>
      </c>
    </row>
    <row r="232" hidden="1">
      <c r="A232" s="14">
        <v>2020.0</v>
      </c>
      <c r="B232" s="15" t="s">
        <v>4</v>
      </c>
      <c r="C232" s="14">
        <v>6.143</v>
      </c>
      <c r="D232" s="14">
        <v>0.0</v>
      </c>
      <c r="E232" s="18">
        <v>1.8324390770684E11</v>
      </c>
      <c r="F232" s="14">
        <v>0.2</v>
      </c>
      <c r="G232" s="14">
        <v>1.0</v>
      </c>
      <c r="H232" s="18">
        <v>3.664878154137E10</v>
      </c>
      <c r="I232" s="14">
        <v>0.22</v>
      </c>
      <c r="J232" s="14"/>
      <c r="K232" s="14">
        <f>'Индекс с Дивидендами'!$J232/'Индекс с Дивидендами'!$C232</f>
        <v>0</v>
      </c>
    </row>
    <row r="233">
      <c r="A233" s="14">
        <v>2020.0</v>
      </c>
      <c r="B233" s="15" t="s">
        <v>82</v>
      </c>
      <c r="C233" s="14">
        <v>209.06</v>
      </c>
      <c r="D233" s="14">
        <v>0.0</v>
      </c>
      <c r="E233" s="18">
        <v>1.2529440867944E12</v>
      </c>
      <c r="F233" s="14">
        <v>0.19</v>
      </c>
      <c r="G233" s="14">
        <v>1.0</v>
      </c>
      <c r="H233" s="18">
        <v>2.3805937649094E11</v>
      </c>
      <c r="I233" s="14">
        <v>1.43</v>
      </c>
      <c r="J233" s="14">
        <v>20.73</v>
      </c>
      <c r="K233" s="20">
        <f>'Индекс с Дивидендами'!$J233/'Индекс с Дивидендами'!$C233</f>
        <v>0.09915813642</v>
      </c>
    </row>
    <row r="234">
      <c r="A234" s="14">
        <v>2020.0</v>
      </c>
      <c r="B234" s="15" t="s">
        <v>112</v>
      </c>
      <c r="C234" s="14">
        <v>3133.0</v>
      </c>
      <c r="D234" s="14">
        <v>3.2375E7</v>
      </c>
      <c r="E234" s="18">
        <v>4.057235E11</v>
      </c>
      <c r="F234" s="14">
        <v>0.25</v>
      </c>
      <c r="G234" s="14">
        <v>1.0</v>
      </c>
      <c r="H234" s="18">
        <v>1.01430875E11</v>
      </c>
      <c r="I234" s="14">
        <v>0.61</v>
      </c>
      <c r="J234" s="14">
        <v>300.0</v>
      </c>
      <c r="K234" s="20">
        <f>'Индекс с Дивидендами'!$J234/'Индекс с Дивидендами'!$C234</f>
        <v>0.09575486754</v>
      </c>
    </row>
    <row r="235">
      <c r="A235" s="14">
        <v>2020.0</v>
      </c>
      <c r="B235" s="15" t="s">
        <v>104</v>
      </c>
      <c r="C235" s="14">
        <f>140350/100</f>
        <v>1403.5</v>
      </c>
      <c r="D235" s="14">
        <v>0.0</v>
      </c>
      <c r="E235" s="18">
        <v>2.1822670625E11</v>
      </c>
      <c r="F235" s="14">
        <v>0.37</v>
      </c>
      <c r="G235" s="14">
        <v>1.0</v>
      </c>
      <c r="H235" s="18">
        <v>8.07438813125E10</v>
      </c>
      <c r="I235" s="14">
        <v>0.48</v>
      </c>
      <c r="J235" s="14">
        <f>11612.2/100</f>
        <v>116.122</v>
      </c>
      <c r="K235" s="20">
        <f>'Индекс с Дивидендами'!$J235/'Индекс с Дивидендами'!$C235</f>
        <v>0.08273744211</v>
      </c>
    </row>
    <row r="236">
      <c r="A236" s="14">
        <v>2020.0</v>
      </c>
      <c r="B236" s="15" t="s">
        <v>108</v>
      </c>
      <c r="C236" s="14">
        <v>0.2221</v>
      </c>
      <c r="D236" s="14">
        <v>0.0</v>
      </c>
      <c r="E236" s="18">
        <v>2.8310316825229E11</v>
      </c>
      <c r="F236" s="14">
        <v>0.18</v>
      </c>
      <c r="G236" s="14">
        <v>1.0</v>
      </c>
      <c r="H236" s="18">
        <v>5.095857028541E10</v>
      </c>
      <c r="I236" s="14">
        <v>0.31</v>
      </c>
      <c r="J236" s="14">
        <v>0.0183</v>
      </c>
      <c r="K236" s="20">
        <f>'Индекс с Дивидендами'!$J236/'Индекс с Дивидендами'!$C236</f>
        <v>0.08239531742</v>
      </c>
    </row>
    <row r="237">
      <c r="A237" s="14">
        <v>2020.0</v>
      </c>
      <c r="B237" s="15" t="s">
        <v>96</v>
      </c>
      <c r="C237" s="14">
        <v>1315.4</v>
      </c>
      <c r="D237" s="14">
        <v>1.67543732E8</v>
      </c>
      <c r="E237" s="18">
        <v>1.101935125364E12</v>
      </c>
      <c r="F237" s="14">
        <v>0.2</v>
      </c>
      <c r="G237" s="14">
        <v>1.0</v>
      </c>
      <c r="H237" s="18">
        <v>2.203870250728E11</v>
      </c>
      <c r="I237" s="14">
        <v>1.32</v>
      </c>
      <c r="J237" s="14">
        <v>106.39</v>
      </c>
      <c r="K237" s="20">
        <f>'Индекс с Дивидендами'!$J237/'Индекс с Дивидендами'!$C237</f>
        <v>0.08088034058</v>
      </c>
    </row>
    <row r="238" hidden="1">
      <c r="A238" s="14">
        <v>2020.0</v>
      </c>
      <c r="B238" s="15" t="s">
        <v>168</v>
      </c>
      <c r="C238" s="14">
        <v>455.25</v>
      </c>
      <c r="D238" s="14">
        <v>0.0</v>
      </c>
      <c r="E238" s="18">
        <v>8.1371802009E10</v>
      </c>
      <c r="F238" s="14">
        <v>0.57</v>
      </c>
      <c r="G238" s="14">
        <v>1.0</v>
      </c>
      <c r="H238" s="18">
        <v>4.638192714513E10</v>
      </c>
      <c r="I238" s="14">
        <v>0.28</v>
      </c>
      <c r="J238" s="14"/>
      <c r="K238" s="14">
        <f>'Индекс с Дивидендами'!$J238/'Индекс с Дивидендами'!$C238</f>
        <v>0</v>
      </c>
    </row>
    <row r="239">
      <c r="A239" s="14">
        <v>2020.0</v>
      </c>
      <c r="B239" s="15" t="s">
        <v>118</v>
      </c>
      <c r="C239" s="14">
        <v>2.791</v>
      </c>
      <c r="D239" s="14">
        <v>0.0</v>
      </c>
      <c r="E239" s="18">
        <v>1.759689388507E11</v>
      </c>
      <c r="F239" s="14">
        <v>0.16</v>
      </c>
      <c r="G239" s="14">
        <v>1.0</v>
      </c>
      <c r="H239" s="18">
        <v>2.815503021611E10</v>
      </c>
      <c r="I239" s="14">
        <v>0.17</v>
      </c>
      <c r="J239" s="14">
        <v>0.2221</v>
      </c>
      <c r="K239" s="20">
        <f>'Индекс с Дивидендами'!$J239/'Индекс с Дивидендами'!$C239</f>
        <v>0.07957721247</v>
      </c>
    </row>
    <row r="240" hidden="1">
      <c r="A240" s="14">
        <v>2020.0</v>
      </c>
      <c r="B240" s="15" t="s">
        <v>169</v>
      </c>
      <c r="C240" s="14">
        <v>2298.2</v>
      </c>
      <c r="D240" s="14">
        <v>0.0</v>
      </c>
      <c r="E240" s="18">
        <v>1.15640505852E11</v>
      </c>
      <c r="F240" s="14">
        <v>0.48</v>
      </c>
      <c r="G240" s="14">
        <v>1.0</v>
      </c>
      <c r="H240" s="18">
        <v>5.550744280896E10</v>
      </c>
      <c r="I240" s="14">
        <v>0.33</v>
      </c>
      <c r="J240" s="14"/>
      <c r="K240" s="14">
        <f>'Индекс с Дивидендами'!$J240/'Индекс с Дивидендами'!$C240</f>
        <v>0</v>
      </c>
    </row>
    <row r="241">
      <c r="A241" s="14">
        <v>2020.0</v>
      </c>
      <c r="B241" s="15" t="s">
        <v>164</v>
      </c>
      <c r="C241" s="14">
        <v>135.52</v>
      </c>
      <c r="D241" s="14">
        <v>7.3161E8</v>
      </c>
      <c r="E241" s="18">
        <v>1.0014928E11</v>
      </c>
      <c r="F241" s="14">
        <v>0.99</v>
      </c>
      <c r="G241" s="14">
        <v>1.0</v>
      </c>
      <c r="H241" s="18">
        <v>9.91477872E10</v>
      </c>
      <c r="I241" s="14">
        <v>0.59</v>
      </c>
      <c r="J241" s="14">
        <v>10.58</v>
      </c>
      <c r="K241" s="20">
        <f>'Индекс с Дивидендами'!$J241/'Индекс с Дивидендами'!$C241</f>
        <v>0.07806965762</v>
      </c>
    </row>
    <row r="242">
      <c r="A242" s="14">
        <v>2020.0</v>
      </c>
      <c r="B242" s="15" t="s">
        <v>94</v>
      </c>
      <c r="C242" s="14">
        <v>240.72</v>
      </c>
      <c r="D242" s="14">
        <v>8.406341E8</v>
      </c>
      <c r="E242" s="18">
        <v>2.4072E11</v>
      </c>
      <c r="F242" s="14">
        <v>1.0</v>
      </c>
      <c r="G242" s="14">
        <v>0.8406341</v>
      </c>
      <c r="H242" s="18">
        <v>2.02357440552E11</v>
      </c>
      <c r="I242" s="14">
        <v>1.21</v>
      </c>
      <c r="J242" s="14">
        <v>18.7</v>
      </c>
      <c r="K242" s="20">
        <f>'Индекс с Дивидендами'!$J242/'Индекс с Дивидендами'!$C242</f>
        <v>0.07768361582</v>
      </c>
    </row>
    <row r="243">
      <c r="A243" s="14">
        <v>2020.0</v>
      </c>
      <c r="B243" s="15" t="s">
        <v>78</v>
      </c>
      <c r="C243" s="14">
        <v>5168.0</v>
      </c>
      <c r="D243" s="14">
        <v>0.0</v>
      </c>
      <c r="E243" s="18">
        <v>3.580730258016E12</v>
      </c>
      <c r="F243" s="14">
        <v>0.55</v>
      </c>
      <c r="G243" s="14">
        <v>0.897251</v>
      </c>
      <c r="H243" s="18">
        <v>1.76704759260409E12</v>
      </c>
      <c r="I243" s="14">
        <v>10.58</v>
      </c>
      <c r="J243" s="14">
        <v>396.0</v>
      </c>
      <c r="K243" s="20">
        <f>'Индекс с Дивидендами'!$J243/'Индекс с Дивидендами'!$C243</f>
        <v>0.076625387</v>
      </c>
    </row>
    <row r="244">
      <c r="A244" s="14">
        <v>2020.0</v>
      </c>
      <c r="B244" s="15" t="s">
        <v>43</v>
      </c>
      <c r="C244" s="14">
        <v>212.69</v>
      </c>
      <c r="D244" s="14">
        <v>0.0</v>
      </c>
      <c r="E244" s="18">
        <v>5.035119458701E12</v>
      </c>
      <c r="F244" s="14">
        <v>0.5</v>
      </c>
      <c r="G244" s="14">
        <v>0.897251</v>
      </c>
      <c r="H244" s="18">
        <v>2.25888298471945E12</v>
      </c>
      <c r="I244" s="14">
        <v>13.52</v>
      </c>
      <c r="J244" s="14">
        <v>15.24</v>
      </c>
      <c r="K244" s="20">
        <f>'Индекс с Дивидендами'!$J244/'Индекс с Дивидендами'!$C244</f>
        <v>0.07165358033</v>
      </c>
    </row>
    <row r="245">
      <c r="A245" s="14">
        <v>2020.0</v>
      </c>
      <c r="B245" s="15" t="s">
        <v>93</v>
      </c>
      <c r="C245" s="14">
        <v>271.1</v>
      </c>
      <c r="D245" s="14">
        <v>0.0</v>
      </c>
      <c r="E245" s="18">
        <v>5.8522216028E12</v>
      </c>
      <c r="F245" s="14">
        <v>0.48</v>
      </c>
      <c r="G245" s="14">
        <v>0.8406341</v>
      </c>
      <c r="H245" s="18">
        <v>2.36139697923377E12</v>
      </c>
      <c r="I245" s="14">
        <v>14.14</v>
      </c>
      <c r="J245" s="14">
        <v>18.7</v>
      </c>
      <c r="K245" s="20">
        <f>'Индекс с Дивидендами'!$J245/'Индекс с Дивидендами'!$C245</f>
        <v>0.06897823681</v>
      </c>
    </row>
    <row r="246" hidden="1">
      <c r="A246" s="14">
        <v>2020.0</v>
      </c>
      <c r="B246" s="15" t="s">
        <v>184</v>
      </c>
      <c r="C246" s="14">
        <v>1989.0</v>
      </c>
      <c r="D246" s="14">
        <v>0.0</v>
      </c>
      <c r="E246" s="18">
        <v>4.14869761098E11</v>
      </c>
      <c r="F246" s="14">
        <v>0.53</v>
      </c>
      <c r="G246" s="14">
        <v>1.0</v>
      </c>
      <c r="H246" s="18">
        <v>2.1988097338194E11</v>
      </c>
      <c r="I246" s="14">
        <v>1.32</v>
      </c>
      <c r="J246" s="14"/>
      <c r="K246" s="14">
        <f>'Индекс с Дивидендами'!$J246/'Индекс с Дивидендами'!$C246</f>
        <v>0</v>
      </c>
    </row>
    <row r="247">
      <c r="A247" s="14">
        <v>2020.0</v>
      </c>
      <c r="B247" s="15" t="s">
        <v>69</v>
      </c>
      <c r="C247" s="14">
        <v>55.815</v>
      </c>
      <c r="D247" s="14">
        <v>1.7878928E9</v>
      </c>
      <c r="E247" s="18">
        <v>6.2369522895E11</v>
      </c>
      <c r="F247" s="14">
        <v>0.16</v>
      </c>
      <c r="G247" s="14">
        <v>1.0</v>
      </c>
      <c r="H247" s="18">
        <v>9.9791236632E10</v>
      </c>
      <c r="I247" s="14">
        <v>0.6</v>
      </c>
      <c r="J247" s="14">
        <v>3.764</v>
      </c>
      <c r="K247" s="20">
        <f>'Индекс с Дивидендами'!$J247/'Индекс с Дивидендами'!$C247</f>
        <v>0.06743706889</v>
      </c>
    </row>
    <row r="248">
      <c r="A248" s="14">
        <v>2020.0</v>
      </c>
      <c r="B248" s="15" t="s">
        <v>166</v>
      </c>
      <c r="C248" s="14">
        <v>2760.0</v>
      </c>
      <c r="D248" s="14">
        <v>0.0</v>
      </c>
      <c r="E248" s="18">
        <v>7.4954112672E11</v>
      </c>
      <c r="F248" s="14">
        <v>0.41</v>
      </c>
      <c r="G248" s="14">
        <v>1.0</v>
      </c>
      <c r="H248" s="18">
        <v>3.073118619552E11</v>
      </c>
      <c r="I248" s="14">
        <v>1.84</v>
      </c>
      <c r="J248" s="14">
        <v>184.115</v>
      </c>
      <c r="K248" s="20">
        <f>'Индекс с Дивидендами'!$J248/'Индекс с Дивидендами'!$C248</f>
        <v>0.06670833333</v>
      </c>
    </row>
    <row r="249">
      <c r="A249" s="14">
        <v>2020.0</v>
      </c>
      <c r="B249" s="15" t="s">
        <v>49</v>
      </c>
      <c r="C249" s="14">
        <v>866.4</v>
      </c>
      <c r="D249" s="14">
        <v>0.0</v>
      </c>
      <c r="E249" s="18">
        <v>8.9265378276E10</v>
      </c>
      <c r="F249" s="14">
        <v>0.42</v>
      </c>
      <c r="G249" s="14">
        <v>1.0</v>
      </c>
      <c r="H249" s="18">
        <v>3.749145887592E10</v>
      </c>
      <c r="I249" s="14">
        <v>0.22</v>
      </c>
      <c r="J249" s="14">
        <v>50.0</v>
      </c>
      <c r="K249" s="20">
        <f>'Индекс с Дивидендами'!$J249/'Индекс с Дивидендами'!$C249</f>
        <v>0.05771006464</v>
      </c>
    </row>
    <row r="250">
      <c r="A250" s="14">
        <v>2020.0</v>
      </c>
      <c r="B250" s="15" t="s">
        <v>147</v>
      </c>
      <c r="C250" s="14">
        <v>5668.5</v>
      </c>
      <c r="D250" s="14">
        <v>0.0</v>
      </c>
      <c r="E250" s="18">
        <v>5.776845158175E11</v>
      </c>
      <c r="F250" s="14">
        <v>0.71</v>
      </c>
      <c r="G250" s="14">
        <v>1.0</v>
      </c>
      <c r="H250" s="18">
        <v>4.1015600623043E11</v>
      </c>
      <c r="I250" s="14">
        <v>2.46</v>
      </c>
      <c r="J250" s="14">
        <v>304.19</v>
      </c>
      <c r="K250" s="20">
        <f>'Индекс с Дивидендами'!$J250/'Индекс с Дивидендами'!$C250</f>
        <v>0.0536632266</v>
      </c>
    </row>
    <row r="251">
      <c r="A251" s="14">
        <v>2020.0</v>
      </c>
      <c r="B251" s="15" t="s">
        <v>90</v>
      </c>
      <c r="C251" s="14">
        <v>96.73</v>
      </c>
      <c r="D251" s="14">
        <v>0.0</v>
      </c>
      <c r="E251" s="18">
        <v>3.1756438967217E11</v>
      </c>
      <c r="F251" s="14">
        <v>0.29</v>
      </c>
      <c r="G251" s="14">
        <v>1.0</v>
      </c>
      <c r="H251" s="18">
        <v>9.209367300493E10</v>
      </c>
      <c r="I251" s="14">
        <v>0.55</v>
      </c>
      <c r="J251" s="14">
        <v>5.0</v>
      </c>
      <c r="K251" s="20">
        <f>'Индекс с Дивидендами'!$J251/'Индекс с Дивидендами'!$C251</f>
        <v>0.05169027189</v>
      </c>
    </row>
    <row r="252" hidden="1">
      <c r="A252" s="14">
        <v>2020.0</v>
      </c>
      <c r="B252" s="15" t="s">
        <v>17</v>
      </c>
      <c r="C252" s="14">
        <v>3316.0</v>
      </c>
      <c r="D252" s="14">
        <v>0.0</v>
      </c>
      <c r="E252" s="18">
        <v>5.94327190664E11</v>
      </c>
      <c r="F252" s="14">
        <v>0.18</v>
      </c>
      <c r="G252" s="14">
        <v>1.0</v>
      </c>
      <c r="H252" s="18">
        <v>1.0697889431952E11</v>
      </c>
      <c r="I252" s="14">
        <v>0.64</v>
      </c>
      <c r="J252" s="14"/>
      <c r="K252" s="14">
        <f>'Индекс с Дивидендами'!$J252/'Индекс с Дивидендами'!$C252</f>
        <v>0</v>
      </c>
    </row>
    <row r="253">
      <c r="A253" s="14">
        <v>2020.0</v>
      </c>
      <c r="B253" s="15" t="s">
        <v>45</v>
      </c>
      <c r="C253" s="14">
        <f>23696/100</f>
        <v>236.96</v>
      </c>
      <c r="D253" s="14">
        <v>0.0</v>
      </c>
      <c r="E253" s="18">
        <v>3.749784799296E12</v>
      </c>
      <c r="F253" s="14">
        <v>0.38</v>
      </c>
      <c r="G253" s="14">
        <v>0.897251</v>
      </c>
      <c r="H253" s="18">
        <v>1.27850930116312E12</v>
      </c>
      <c r="I253" s="14">
        <v>7.65</v>
      </c>
      <c r="J253" s="14">
        <f>1180.55/100</f>
        <v>11.8055</v>
      </c>
      <c r="K253" s="20">
        <f>'Индекс с Дивидендами'!$J253/'Индекс с Дивидендами'!$C253</f>
        <v>0.04982064483</v>
      </c>
    </row>
    <row r="254">
      <c r="A254" s="14">
        <v>2020.0</v>
      </c>
      <c r="B254" s="15" t="s">
        <v>76</v>
      </c>
      <c r="C254" s="14">
        <v>159.57</v>
      </c>
      <c r="D254" s="14">
        <v>0.0</v>
      </c>
      <c r="E254" s="18">
        <v>3.6324538065306E11</v>
      </c>
      <c r="F254" s="14">
        <v>0.63</v>
      </c>
      <c r="G254" s="14">
        <v>1.0</v>
      </c>
      <c r="H254" s="18">
        <v>2.2884458981143E11</v>
      </c>
      <c r="I254" s="14">
        <v>1.37</v>
      </c>
      <c r="J254" s="14">
        <v>7.93</v>
      </c>
      <c r="K254" s="20">
        <f>'Индекс с Дивидендами'!$J254/'Индекс с Дивидендами'!$C254</f>
        <v>0.04969605816</v>
      </c>
    </row>
    <row r="255">
      <c r="A255" s="14">
        <v>2020.0</v>
      </c>
      <c r="B255" s="15" t="s">
        <v>106</v>
      </c>
      <c r="C255" s="14">
        <v>0.7822</v>
      </c>
      <c r="D255" s="14">
        <v>0.0</v>
      </c>
      <c r="E255" s="18">
        <v>3.3344319095959E11</v>
      </c>
      <c r="F255" s="14">
        <v>0.19</v>
      </c>
      <c r="G255" s="14">
        <v>1.0</v>
      </c>
      <c r="H255" s="18">
        <v>6.335419089232E10</v>
      </c>
      <c r="I255" s="14">
        <v>0.38</v>
      </c>
      <c r="J255" s="14">
        <v>0.0357</v>
      </c>
      <c r="K255" s="20">
        <f>'Индекс с Дивидендами'!$J255/'Индекс с Дивидендами'!$C255</f>
        <v>0.04564050115</v>
      </c>
    </row>
    <row r="256" hidden="1">
      <c r="A256" s="14">
        <v>2020.0</v>
      </c>
      <c r="B256" s="15" t="s">
        <v>183</v>
      </c>
      <c r="C256" s="14">
        <v>31.15</v>
      </c>
      <c r="D256" s="14">
        <v>0.0</v>
      </c>
      <c r="E256" s="18">
        <v>1.2322282027895E11</v>
      </c>
      <c r="F256" s="14">
        <v>0.65</v>
      </c>
      <c r="G256" s="14">
        <v>1.0</v>
      </c>
      <c r="H256" s="18">
        <v>8.009483318132E10</v>
      </c>
      <c r="I256" s="14">
        <v>0.48</v>
      </c>
      <c r="J256" s="14"/>
      <c r="K256" s="14">
        <f>'Индекс с Дивидендами'!$J256/'Индекс с Дивидендами'!$C256</f>
        <v>0</v>
      </c>
    </row>
    <row r="257">
      <c r="A257" s="14">
        <v>2020.0</v>
      </c>
      <c r="B257" s="15" t="s">
        <v>157</v>
      </c>
      <c r="C257" s="14">
        <v>1735.0</v>
      </c>
      <c r="D257" s="14">
        <v>3.3499078E8</v>
      </c>
      <c r="E257" s="18">
        <v>8.1860423E11</v>
      </c>
      <c r="F257" s="14">
        <v>0.71</v>
      </c>
      <c r="G257" s="14">
        <v>1.0</v>
      </c>
      <c r="H257" s="18">
        <v>5.812090033E11</v>
      </c>
      <c r="I257" s="14">
        <v>3.48</v>
      </c>
      <c r="J257" s="14">
        <v>73.95</v>
      </c>
      <c r="K257" s="20">
        <f>'Индекс с Дивидендами'!$J257/'Индекс с Дивидендами'!$C257</f>
        <v>0.04262247839</v>
      </c>
    </row>
    <row r="258">
      <c r="A258" s="14">
        <v>2020.0</v>
      </c>
      <c r="B258" s="15" t="s">
        <v>132</v>
      </c>
      <c r="C258" s="14">
        <v>435.2</v>
      </c>
      <c r="D258" s="14">
        <v>0.0</v>
      </c>
      <c r="E258" s="18">
        <v>4.6123269859584E12</v>
      </c>
      <c r="F258" s="14">
        <v>0.11</v>
      </c>
      <c r="G258" s="14">
        <v>1.0</v>
      </c>
      <c r="H258" s="18">
        <v>5.0735596845542E11</v>
      </c>
      <c r="I258" s="14">
        <v>3.04</v>
      </c>
      <c r="J258" s="14">
        <v>18.07</v>
      </c>
      <c r="K258" s="20">
        <f>'Индекс с Дивидендами'!$J258/'Индекс с Дивидендами'!$C258</f>
        <v>0.04152113971</v>
      </c>
    </row>
    <row r="259">
      <c r="A259" s="14">
        <v>2020.0</v>
      </c>
      <c r="B259" s="15" t="s">
        <v>86</v>
      </c>
      <c r="C259" s="14">
        <v>597.9</v>
      </c>
      <c r="D259" s="14">
        <v>0.0</v>
      </c>
      <c r="E259" s="18">
        <v>3.949113619776E11</v>
      </c>
      <c r="F259" s="14">
        <v>0.18</v>
      </c>
      <c r="G259" s="14">
        <v>1.0</v>
      </c>
      <c r="H259" s="18">
        <v>7.108404515597E10</v>
      </c>
      <c r="I259" s="14">
        <v>0.43</v>
      </c>
      <c r="J259" s="14">
        <v>22.71</v>
      </c>
      <c r="K259" s="20">
        <f>'Индекс с Дивидендами'!$J259/'Индекс с Дивидендами'!$C259</f>
        <v>0.03798294029</v>
      </c>
    </row>
    <row r="260" hidden="1">
      <c r="A260" s="14">
        <v>2020.0</v>
      </c>
      <c r="B260" s="15" t="s">
        <v>185</v>
      </c>
      <c r="C260" s="14">
        <v>1.753</v>
      </c>
      <c r="D260" s="14">
        <v>0.0</v>
      </c>
      <c r="E260" s="18">
        <v>3.4854524759217E11</v>
      </c>
      <c r="F260" s="14">
        <v>0.11</v>
      </c>
      <c r="G260" s="14">
        <v>1.0</v>
      </c>
      <c r="H260" s="18">
        <v>3.833997723514E10</v>
      </c>
      <c r="I260" s="14">
        <v>0.23</v>
      </c>
      <c r="J260" s="14"/>
      <c r="K260" s="14">
        <f>'Индекс с Дивидендами'!$J260/'Индекс с Дивидендами'!$C260</f>
        <v>0</v>
      </c>
    </row>
    <row r="261">
      <c r="A261" s="14">
        <v>2020.0</v>
      </c>
      <c r="B261" s="15" t="s">
        <v>59</v>
      </c>
      <c r="C261" s="14">
        <v>5.3125</v>
      </c>
      <c r="D261" s="14">
        <v>3.4452E10</v>
      </c>
      <c r="E261" s="18">
        <v>5.54625E11</v>
      </c>
      <c r="F261" s="14">
        <v>0.33</v>
      </c>
      <c r="G261" s="14">
        <v>1.0</v>
      </c>
      <c r="H261" s="18">
        <v>1.8302625E11</v>
      </c>
      <c r="I261" s="14">
        <v>1.1</v>
      </c>
      <c r="J261" s="14">
        <v>0.1962</v>
      </c>
      <c r="K261" s="20">
        <f>'Индекс с Дивидендами'!$J261/'Индекс с Дивидендами'!$C261</f>
        <v>0.03693176471</v>
      </c>
    </row>
    <row r="262" hidden="1">
      <c r="A262" s="14">
        <v>2020.0</v>
      </c>
      <c r="B262" s="15" t="s">
        <v>21</v>
      </c>
      <c r="C262" s="14">
        <v>35.41</v>
      </c>
      <c r="D262" s="14">
        <v>0.0</v>
      </c>
      <c r="E262" s="18">
        <v>5.3798465626342E11</v>
      </c>
      <c r="F262" s="14">
        <v>0.16</v>
      </c>
      <c r="G262" s="14">
        <v>1.0</v>
      </c>
      <c r="H262" s="18">
        <v>8.607754500215E10</v>
      </c>
      <c r="I262" s="14">
        <v>0.52</v>
      </c>
      <c r="J262" s="14"/>
      <c r="K262" s="14">
        <f>'Индекс с Дивидендами'!$J262/'Индекс с Дивидендами'!$C262</f>
        <v>0</v>
      </c>
    </row>
    <row r="263">
      <c r="A263" s="14">
        <v>2020.0</v>
      </c>
      <c r="B263" s="15" t="s">
        <v>88</v>
      </c>
      <c r="C263" s="14">
        <f>15225/50</f>
        <v>304.5</v>
      </c>
      <c r="D263" s="14">
        <v>0.0</v>
      </c>
      <c r="E263" s="18">
        <v>2.0441250039E12</v>
      </c>
      <c r="F263" s="14">
        <v>0.21</v>
      </c>
      <c r="G263" s="14">
        <v>1.0</v>
      </c>
      <c r="H263" s="18">
        <v>4.29266250819E11</v>
      </c>
      <c r="I263" s="14">
        <v>2.57</v>
      </c>
      <c r="J263" s="14">
        <f>484.93/50</f>
        <v>9.6986</v>
      </c>
      <c r="K263" s="20">
        <f>'Индекс с Дивидендами'!$J263/'Индекс с Дивидендами'!$C263</f>
        <v>0.03185090312</v>
      </c>
    </row>
    <row r="264">
      <c r="A264" s="14">
        <v>2020.0</v>
      </c>
      <c r="B264" s="15" t="s">
        <v>7</v>
      </c>
      <c r="C264" s="14">
        <v>98.33</v>
      </c>
      <c r="D264" s="14">
        <v>0.0</v>
      </c>
      <c r="E264" s="18">
        <v>7.241970703979E11</v>
      </c>
      <c r="F264" s="14">
        <v>0.34</v>
      </c>
      <c r="G264" s="14">
        <v>1.0</v>
      </c>
      <c r="H264" s="18">
        <v>2.4622700393529E11</v>
      </c>
      <c r="I264" s="14">
        <v>1.47</v>
      </c>
      <c r="J264" s="14">
        <v>2.63</v>
      </c>
      <c r="K264" s="20">
        <f>'Индекс с Дивидендами'!$J264/'Индекс с Дивидендами'!$C264</f>
        <v>0.02674666938</v>
      </c>
    </row>
    <row r="265">
      <c r="A265" s="14">
        <v>2020.0</v>
      </c>
      <c r="B265" s="15" t="s">
        <v>130</v>
      </c>
      <c r="C265" s="14">
        <v>1259.2</v>
      </c>
      <c r="D265" s="14">
        <v>6.3762426E8</v>
      </c>
      <c r="E265" s="18">
        <v>3.8233165152E12</v>
      </c>
      <c r="F265" s="14">
        <v>0.21</v>
      </c>
      <c r="G265" s="14">
        <v>1.0</v>
      </c>
      <c r="H265" s="18">
        <v>8.02896468192E11</v>
      </c>
      <c r="I265" s="14">
        <v>4.81</v>
      </c>
      <c r="J265" s="14">
        <v>29.92</v>
      </c>
      <c r="K265" s="20">
        <f>'Индекс с Дивидендами'!$J265/'Индекс с Дивидендами'!$C265</f>
        <v>0.02376111817</v>
      </c>
    </row>
    <row r="266">
      <c r="A266" s="14">
        <v>2020.0</v>
      </c>
      <c r="B266" s="15" t="s">
        <v>142</v>
      </c>
      <c r="C266" s="14">
        <v>41.835</v>
      </c>
      <c r="D266" s="14">
        <v>0.0</v>
      </c>
      <c r="E266" s="18">
        <v>3.2221309616123E11</v>
      </c>
      <c r="F266" s="14">
        <v>0.73</v>
      </c>
      <c r="G266" s="14">
        <v>1.0</v>
      </c>
      <c r="H266" s="18">
        <v>2.3521556019769E11</v>
      </c>
      <c r="I266" s="14">
        <v>1.41</v>
      </c>
      <c r="J266" s="14">
        <v>0.97</v>
      </c>
      <c r="K266" s="20">
        <f>'Индекс с Дивидендами'!$J266/'Индекс с Дивидендами'!$C266</f>
        <v>0.02318632724</v>
      </c>
    </row>
    <row r="267">
      <c r="A267" s="14">
        <v>2020.0</v>
      </c>
      <c r="B267" s="15" t="s">
        <v>137</v>
      </c>
      <c r="C267" s="14">
        <v>475.0</v>
      </c>
      <c r="D267" s="14">
        <v>1.475085E8</v>
      </c>
      <c r="E267" s="18">
        <v>7.00665375E10</v>
      </c>
      <c r="F267" s="14">
        <v>1.0</v>
      </c>
      <c r="G267" s="14">
        <v>1.0</v>
      </c>
      <c r="H267" s="18">
        <v>7.00665375E10</v>
      </c>
      <c r="I267" s="14">
        <v>0.42</v>
      </c>
      <c r="J267" s="14">
        <v>10.94</v>
      </c>
      <c r="K267" s="20">
        <f>'Индекс с Дивидендами'!$J267/'Индекс с Дивидендами'!$C267</f>
        <v>0.02303157895</v>
      </c>
    </row>
    <row r="268">
      <c r="A268" s="14">
        <v>2020.0</v>
      </c>
      <c r="B268" s="15" t="s">
        <v>9</v>
      </c>
      <c r="C268" s="14">
        <f>0.0377*5000</f>
        <v>188.5</v>
      </c>
      <c r="D268" s="19">
        <v>0.0</v>
      </c>
      <c r="E268" s="18">
        <v>4.8861240841764E11</v>
      </c>
      <c r="F268" s="14">
        <v>0.27</v>
      </c>
      <c r="G268" s="14">
        <v>1.0</v>
      </c>
      <c r="H268" s="18">
        <v>1.3192535027276E11</v>
      </c>
      <c r="I268" s="14">
        <v>0.79</v>
      </c>
      <c r="J268" s="14">
        <f>0.0008*5000</f>
        <v>4</v>
      </c>
      <c r="K268" s="20">
        <f>'Индекс с Дивидендами'!$J268/'Индекс с Дивидендами'!$C268</f>
        <v>0.02122015915</v>
      </c>
    </row>
    <row r="269" hidden="1">
      <c r="A269" s="14">
        <v>2020.0</v>
      </c>
      <c r="B269" s="15" t="s">
        <v>180</v>
      </c>
      <c r="C269" s="14">
        <v>2366.2</v>
      </c>
      <c r="D269" s="14">
        <v>0.0</v>
      </c>
      <c r="E269" s="18">
        <v>2.822669983416E11</v>
      </c>
      <c r="F269" s="14">
        <v>0.89</v>
      </c>
      <c r="G269" s="14">
        <v>1.0</v>
      </c>
      <c r="H269" s="18">
        <v>2.5121762852402E11</v>
      </c>
      <c r="I269" s="14">
        <v>1.5</v>
      </c>
      <c r="J269" s="14"/>
      <c r="K269" s="14">
        <f>'Индекс с Дивидендами'!$J269/'Индекс с Дивидендами'!$C269</f>
        <v>0</v>
      </c>
    </row>
    <row r="270">
      <c r="A270" s="14">
        <v>2020.0</v>
      </c>
      <c r="B270" s="15" t="s">
        <v>136</v>
      </c>
      <c r="C270" s="14">
        <v>512.2</v>
      </c>
      <c r="D270" s="14">
        <v>6.97181024E8</v>
      </c>
      <c r="E270" s="18">
        <v>1.11592537654E12</v>
      </c>
      <c r="F270" s="14">
        <v>0.32</v>
      </c>
      <c r="G270" s="14">
        <v>1.0</v>
      </c>
      <c r="H270" s="18">
        <v>3.570961204928E11</v>
      </c>
      <c r="I270" s="14">
        <v>2.14</v>
      </c>
      <c r="J270" s="14">
        <v>9.94</v>
      </c>
      <c r="K270" s="20">
        <f>'Индекс с Дивидендами'!$J270/'Индекс с Дивидендами'!$C270</f>
        <v>0.01940648184</v>
      </c>
    </row>
    <row r="271">
      <c r="A271" s="14">
        <v>2020.0</v>
      </c>
      <c r="B271" s="15" t="s">
        <v>141</v>
      </c>
      <c r="C271" s="14">
        <v>36.13</v>
      </c>
      <c r="D271" s="14">
        <v>0.0</v>
      </c>
      <c r="E271" s="18">
        <v>1.29078018869165E12</v>
      </c>
      <c r="F271" s="14">
        <v>0.25</v>
      </c>
      <c r="G271" s="14">
        <v>1.0</v>
      </c>
      <c r="H271" s="18">
        <v>3.2269504717291E11</v>
      </c>
      <c r="I271" s="14">
        <v>1.93</v>
      </c>
      <c r="J271" s="14">
        <v>0.65</v>
      </c>
      <c r="K271" s="20">
        <f>'Индекс с Дивидендами'!$J271/'Индекс с Дивидендами'!$C271</f>
        <v>0.01799058954</v>
      </c>
    </row>
    <row r="272">
      <c r="A272" s="14">
        <v>2020.0</v>
      </c>
      <c r="B272" s="15" t="s">
        <v>37</v>
      </c>
      <c r="C272" s="14">
        <v>28.641</v>
      </c>
      <c r="D272" s="14">
        <v>3.1845E9</v>
      </c>
      <c r="E272" s="18">
        <v>2.7638565E11</v>
      </c>
      <c r="F272" s="14">
        <v>0.33</v>
      </c>
      <c r="G272" s="14">
        <v>1.0</v>
      </c>
      <c r="H272" s="18">
        <v>9.12072645E10</v>
      </c>
      <c r="I272" s="14">
        <v>0.55</v>
      </c>
      <c r="J272" s="14">
        <v>0.13</v>
      </c>
      <c r="K272" s="20">
        <f>'Индекс с Дивидендами'!$J272/'Индекс с Дивидендами'!$C272</f>
        <v>0.004538947662</v>
      </c>
    </row>
    <row r="273" hidden="1">
      <c r="A273" s="14">
        <v>2020.0</v>
      </c>
      <c r="B273" s="15" t="s">
        <v>181</v>
      </c>
      <c r="C273" s="14">
        <v>5156.8</v>
      </c>
      <c r="D273" s="14">
        <v>0.0</v>
      </c>
      <c r="E273" s="18">
        <v>1.6523958941072E12</v>
      </c>
      <c r="F273" s="14">
        <v>0.97</v>
      </c>
      <c r="G273" s="14">
        <v>0.897251</v>
      </c>
      <c r="H273" s="18">
        <v>1.43813545233191E12</v>
      </c>
      <c r="I273" s="14">
        <v>8.61</v>
      </c>
      <c r="J273" s="14"/>
      <c r="K273" s="14">
        <f>'Индекс с Дивидендами'!$J273/'Индекс с Дивидендами'!$C273</f>
        <v>0</v>
      </c>
    </row>
    <row r="274">
      <c r="A274" s="14">
        <v>2019.0</v>
      </c>
      <c r="B274" s="15" t="s">
        <v>142</v>
      </c>
      <c r="C274" s="14">
        <v>37.725</v>
      </c>
      <c r="D274" s="14">
        <v>0.0</v>
      </c>
      <c r="E274" s="18">
        <v>2.90557883415E11</v>
      </c>
      <c r="F274" s="14">
        <v>0.73</v>
      </c>
      <c r="G274" s="14">
        <v>0.9140466</v>
      </c>
      <c r="H274" s="18">
        <v>1.9387591517E11</v>
      </c>
      <c r="I274" s="14">
        <v>1.64</v>
      </c>
      <c r="J274" s="14">
        <v>7.62</v>
      </c>
      <c r="K274" s="20">
        <f>'Индекс с Дивидендами'!$J274/'Индекс с Дивидендами'!$C274</f>
        <v>0.2019880716</v>
      </c>
    </row>
    <row r="275">
      <c r="A275" s="14">
        <v>2019.0</v>
      </c>
      <c r="B275" s="15" t="s">
        <v>137</v>
      </c>
      <c r="C275" s="14">
        <v>734.0</v>
      </c>
      <c r="D275" s="14">
        <v>0.0</v>
      </c>
      <c r="E275" s="18">
        <v>1.08271239E11</v>
      </c>
      <c r="F275" s="14">
        <v>1.0</v>
      </c>
      <c r="G275" s="14">
        <v>0.8827402</v>
      </c>
      <c r="H275" s="18">
        <v>9.55753751691E10</v>
      </c>
      <c r="I275" s="14">
        <v>0.81</v>
      </c>
      <c r="J275" s="14">
        <v>119.11</v>
      </c>
      <c r="K275" s="20">
        <f>'Индекс с Дивидендами'!$J275/'Индекс с Дивидендами'!$C275</f>
        <v>0.1622752044</v>
      </c>
    </row>
    <row r="276">
      <c r="A276" s="14">
        <v>2019.0</v>
      </c>
      <c r="B276" s="15" t="s">
        <v>82</v>
      </c>
      <c r="C276" s="14">
        <v>143.72</v>
      </c>
      <c r="D276" s="14">
        <v>0.0</v>
      </c>
      <c r="E276" s="18">
        <v>8.61346618933E11</v>
      </c>
      <c r="F276" s="14">
        <v>0.19</v>
      </c>
      <c r="G276" s="14">
        <v>1.0</v>
      </c>
      <c r="H276" s="18">
        <v>1.63655857597E11</v>
      </c>
      <c r="I276" s="14">
        <v>1.39</v>
      </c>
      <c r="J276" s="14">
        <v>22.86</v>
      </c>
      <c r="K276" s="20">
        <f>'Индекс с Дивидендами'!$J276/'Индекс с Дивидендами'!$C276</f>
        <v>0.1590592819</v>
      </c>
    </row>
    <row r="277">
      <c r="A277" s="14">
        <v>2019.0</v>
      </c>
      <c r="B277" s="15" t="s">
        <v>136</v>
      </c>
      <c r="C277" s="14">
        <v>759.7</v>
      </c>
      <c r="D277" s="14">
        <v>0.0</v>
      </c>
      <c r="E277" s="18">
        <v>1.65515132479E12</v>
      </c>
      <c r="F277" s="14">
        <v>0.32</v>
      </c>
      <c r="G277" s="14">
        <v>0.8827402</v>
      </c>
      <c r="H277" s="18">
        <v>4.67541955672E11</v>
      </c>
      <c r="I277" s="14">
        <v>3.96</v>
      </c>
      <c r="J277" s="14">
        <v>119.11</v>
      </c>
      <c r="K277" s="20">
        <f>'Индекс с Дивидендами'!$J277/'Индекс с Дивидендами'!$C277</f>
        <v>0.1567855733</v>
      </c>
    </row>
    <row r="278">
      <c r="A278" s="14">
        <v>2019.0</v>
      </c>
      <c r="B278" s="15" t="s">
        <v>96</v>
      </c>
      <c r="C278" s="14">
        <v>937.6</v>
      </c>
      <c r="D278" s="14">
        <v>1.67543732E8</v>
      </c>
      <c r="E278" s="18">
        <v>7.85445015616E11</v>
      </c>
      <c r="F278" s="14">
        <v>0.2</v>
      </c>
      <c r="G278" s="14">
        <v>1.0</v>
      </c>
      <c r="H278" s="18">
        <v>1.57089003123E11</v>
      </c>
      <c r="I278" s="14">
        <v>1.33</v>
      </c>
      <c r="J278" s="14">
        <v>121.7</v>
      </c>
      <c r="K278" s="20">
        <f>'Индекс с Дивидендами'!$J278/'Индекс с Дивидендами'!$C278</f>
        <v>0.1297994881</v>
      </c>
    </row>
    <row r="279">
      <c r="A279" s="14">
        <v>2019.0</v>
      </c>
      <c r="B279" s="15" t="s">
        <v>45</v>
      </c>
      <c r="C279" s="14">
        <f>19102/100</f>
        <v>191.02</v>
      </c>
      <c r="D279" s="14">
        <v>0.0</v>
      </c>
      <c r="E279" s="18">
        <v>3.02280508255E12</v>
      </c>
      <c r="F279" s="14">
        <v>0.38</v>
      </c>
      <c r="G279" s="14">
        <v>0.6749094</v>
      </c>
      <c r="H279" s="18">
        <v>7.75245434542E11</v>
      </c>
      <c r="I279" s="14">
        <v>6.57</v>
      </c>
      <c r="J279" s="14">
        <f>2280.54/100</f>
        <v>22.8054</v>
      </c>
      <c r="K279" s="20">
        <f>'Индекс с Дивидендами'!$J279/'Индекс с Дивидендами'!$C279</f>
        <v>0.1193874987</v>
      </c>
    </row>
    <row r="280">
      <c r="A280" s="14">
        <v>2019.0</v>
      </c>
      <c r="B280" s="15" t="s">
        <v>112</v>
      </c>
      <c r="C280" s="14">
        <v>2408.0</v>
      </c>
      <c r="D280" s="14">
        <v>3.2375E7</v>
      </c>
      <c r="E280" s="18">
        <v>3.11836E11</v>
      </c>
      <c r="F280" s="14">
        <v>0.25</v>
      </c>
      <c r="G280" s="14">
        <v>1.0</v>
      </c>
      <c r="H280" s="18">
        <v>7.7959E10</v>
      </c>
      <c r="I280" s="14">
        <v>0.66</v>
      </c>
      <c r="J280" s="14">
        <v>249.0</v>
      </c>
      <c r="K280" s="20">
        <f>'Индекс с Дивидендами'!$J280/'Индекс с Дивидендами'!$C280</f>
        <v>0.1034053156</v>
      </c>
    </row>
    <row r="281">
      <c r="A281" s="14">
        <v>2019.0</v>
      </c>
      <c r="B281" s="15" t="s">
        <v>49</v>
      </c>
      <c r="C281" s="14">
        <v>764.0</v>
      </c>
      <c r="D281" s="14">
        <v>0.0</v>
      </c>
      <c r="E281" s="18">
        <v>7.871508426E10</v>
      </c>
      <c r="F281" s="14">
        <v>0.42</v>
      </c>
      <c r="G281" s="14">
        <v>1.0</v>
      </c>
      <c r="H281" s="18">
        <v>3.30603353892E10</v>
      </c>
      <c r="I281" s="14">
        <v>0.28</v>
      </c>
      <c r="J281" s="14">
        <v>78.0</v>
      </c>
      <c r="K281" s="20">
        <f>'Индекс с Дивидендами'!$J281/'Индекс с Дивидендами'!$C281</f>
        <v>0.1020942408</v>
      </c>
    </row>
    <row r="282">
      <c r="A282" s="14">
        <v>2019.0</v>
      </c>
      <c r="B282" s="15" t="s">
        <v>164</v>
      </c>
      <c r="C282" s="14">
        <v>100.0</v>
      </c>
      <c r="D282" s="14">
        <v>2.5126E8</v>
      </c>
      <c r="E282" s="18">
        <v>7.39E10</v>
      </c>
      <c r="F282" s="14">
        <v>0.34</v>
      </c>
      <c r="G282" s="14">
        <v>1.0</v>
      </c>
      <c r="H282" s="18">
        <v>2.5126E10</v>
      </c>
      <c r="I282" s="14">
        <v>0.21</v>
      </c>
      <c r="J282" s="14">
        <v>9.51</v>
      </c>
      <c r="K282" s="20">
        <f>'Индекс с Дивидендами'!$J282/'Индекс с Дивидендами'!$C282</f>
        <v>0.0951</v>
      </c>
    </row>
    <row r="283">
      <c r="A283" s="14">
        <v>2019.0</v>
      </c>
      <c r="B283" s="15" t="s">
        <v>7</v>
      </c>
      <c r="C283" s="14">
        <v>84.32</v>
      </c>
      <c r="D283" s="14">
        <v>0.0</v>
      </c>
      <c r="E283" s="18">
        <v>6.21013901922E11</v>
      </c>
      <c r="F283" s="14">
        <v>0.34</v>
      </c>
      <c r="G283" s="14">
        <v>1.0</v>
      </c>
      <c r="H283" s="18">
        <v>2.11144726653E11</v>
      </c>
      <c r="I283" s="14">
        <v>1.79</v>
      </c>
      <c r="J283" s="14">
        <v>7.95</v>
      </c>
      <c r="K283" s="20">
        <f>'Индекс с Дивидендами'!$J283/'Индекс с Дивидендами'!$C283</f>
        <v>0.09428368121</v>
      </c>
    </row>
    <row r="284">
      <c r="A284" s="14">
        <v>2019.0</v>
      </c>
      <c r="B284" s="15" t="s">
        <v>74</v>
      </c>
      <c r="C284" s="14">
        <v>319.95</v>
      </c>
      <c r="D284" s="14">
        <v>0.0</v>
      </c>
      <c r="E284" s="18">
        <v>6.39382184921E11</v>
      </c>
      <c r="F284" s="14">
        <v>0.45</v>
      </c>
      <c r="G284" s="14">
        <v>1.0</v>
      </c>
      <c r="H284" s="18">
        <v>2.87721983215E11</v>
      </c>
      <c r="I284" s="14">
        <v>2.44</v>
      </c>
      <c r="J284" s="14">
        <v>28.66</v>
      </c>
      <c r="K284" s="20">
        <f>'Индекс с Дивидендами'!$J284/'Индекс с Дивидендами'!$C284</f>
        <v>0.08957649633</v>
      </c>
    </row>
    <row r="285">
      <c r="A285" s="14">
        <v>2019.0</v>
      </c>
      <c r="B285" s="15" t="s">
        <v>69</v>
      </c>
      <c r="C285" s="14">
        <v>41.95</v>
      </c>
      <c r="D285" s="14">
        <v>1.7878928E9</v>
      </c>
      <c r="E285" s="18">
        <v>4.687631435E11</v>
      </c>
      <c r="F285" s="14">
        <v>0.16</v>
      </c>
      <c r="G285" s="14">
        <v>1.0</v>
      </c>
      <c r="H285" s="18">
        <v>7.500210296E10</v>
      </c>
      <c r="I285" s="14">
        <v>0.64</v>
      </c>
      <c r="J285" s="14">
        <v>3.576</v>
      </c>
      <c r="K285" s="20">
        <f>'Индекс с Дивидендами'!$J285/'Индекс с Дивидендами'!$C285</f>
        <v>0.0852443385</v>
      </c>
    </row>
    <row r="286">
      <c r="A286" s="14">
        <v>2019.0</v>
      </c>
      <c r="B286" s="15" t="s">
        <v>118</v>
      </c>
      <c r="C286" s="14">
        <v>2.78</v>
      </c>
      <c r="D286" s="14">
        <v>0.0</v>
      </c>
      <c r="E286" s="18">
        <v>1.75275403083E11</v>
      </c>
      <c r="F286" s="14">
        <v>0.16</v>
      </c>
      <c r="G286" s="14">
        <v>1.0</v>
      </c>
      <c r="H286" s="18">
        <v>2.80440644933E10</v>
      </c>
      <c r="I286" s="14">
        <v>0.24</v>
      </c>
      <c r="J286" s="14">
        <v>0.2221</v>
      </c>
      <c r="K286" s="20">
        <f>'Индекс с Дивидендами'!$J286/'Индекс с Дивидендами'!$C286</f>
        <v>0.07989208633</v>
      </c>
    </row>
    <row r="287" hidden="1">
      <c r="A287" s="14">
        <v>2019.0</v>
      </c>
      <c r="B287" s="15" t="s">
        <v>186</v>
      </c>
      <c r="C287" s="14">
        <v>192.0</v>
      </c>
      <c r="D287" s="14">
        <v>0.0</v>
      </c>
      <c r="E287" s="18">
        <v>9.368249472E10</v>
      </c>
      <c r="F287" s="14">
        <v>0.21</v>
      </c>
      <c r="G287" s="14">
        <v>1.0</v>
      </c>
      <c r="H287" s="18">
        <v>1.96733238912E10</v>
      </c>
      <c r="I287" s="14">
        <v>0.17</v>
      </c>
      <c r="J287" s="14"/>
      <c r="K287" s="14">
        <f>'Индекс с Дивидендами'!$J287/'Индекс с Дивидендами'!$C287</f>
        <v>0</v>
      </c>
    </row>
    <row r="288">
      <c r="A288" s="14">
        <v>2019.0</v>
      </c>
      <c r="B288" s="15" t="s">
        <v>108</v>
      </c>
      <c r="C288" s="14">
        <v>0.20064</v>
      </c>
      <c r="D288" s="14">
        <v>2.29439758151E11</v>
      </c>
      <c r="E288" s="18">
        <v>2.55748850419E11</v>
      </c>
      <c r="F288" s="14">
        <v>0.18</v>
      </c>
      <c r="G288" s="14">
        <v>1.0</v>
      </c>
      <c r="H288" s="18">
        <v>4.60347930755E10</v>
      </c>
      <c r="I288" s="14">
        <v>0.39</v>
      </c>
      <c r="J288" s="14">
        <v>0.016</v>
      </c>
      <c r="K288" s="20">
        <f>'Индекс с Дивидендами'!$J288/'Индекс с Дивидендами'!$C288</f>
        <v>0.07974481659</v>
      </c>
    </row>
    <row r="289">
      <c r="A289" s="14">
        <v>2019.0</v>
      </c>
      <c r="B289" s="15" t="s">
        <v>76</v>
      </c>
      <c r="C289" s="14">
        <v>107.75</v>
      </c>
      <c r="D289" s="14">
        <v>0.0</v>
      </c>
      <c r="E289" s="18">
        <v>2.452822571E11</v>
      </c>
      <c r="F289" s="14">
        <v>0.58</v>
      </c>
      <c r="G289" s="14">
        <v>1.0</v>
      </c>
      <c r="H289" s="18">
        <v>1.42263709118E11</v>
      </c>
      <c r="I289" s="14">
        <v>1.21</v>
      </c>
      <c r="J289" s="14">
        <v>7.7</v>
      </c>
      <c r="K289" s="20">
        <f>'Индекс с Дивидендами'!$J289/'Индекс с Дивидендами'!$C289</f>
        <v>0.07146171694</v>
      </c>
    </row>
    <row r="290">
      <c r="A290" s="14">
        <v>2019.0</v>
      </c>
      <c r="B290" s="15" t="s">
        <v>94</v>
      </c>
      <c r="C290" s="14">
        <v>228.3</v>
      </c>
      <c r="D290" s="14">
        <v>6.454362E8</v>
      </c>
      <c r="E290" s="18">
        <v>2.283E11</v>
      </c>
      <c r="F290" s="14">
        <v>1.0</v>
      </c>
      <c r="G290" s="14">
        <v>0.6454362</v>
      </c>
      <c r="H290" s="18">
        <v>1.4735308446E11</v>
      </c>
      <c r="I290" s="14">
        <v>1.25</v>
      </c>
      <c r="J290" s="14">
        <v>16.0</v>
      </c>
      <c r="K290" s="20">
        <f>'Индекс с Дивидендами'!$J290/'Индекс с Дивидендами'!$C290</f>
        <v>0.07008322383</v>
      </c>
    </row>
    <row r="291">
      <c r="A291" s="14">
        <v>2019.0</v>
      </c>
      <c r="B291" s="15" t="s">
        <v>106</v>
      </c>
      <c r="C291" s="14">
        <v>0.5553</v>
      </c>
      <c r="D291" s="14">
        <v>0.0</v>
      </c>
      <c r="E291" s="18">
        <v>2.36718178165E11</v>
      </c>
      <c r="F291" s="14">
        <v>0.19</v>
      </c>
      <c r="G291" s="14">
        <v>1.0</v>
      </c>
      <c r="H291" s="18">
        <v>4.49764538513E10</v>
      </c>
      <c r="I291" s="14">
        <v>0.38</v>
      </c>
      <c r="J291" s="14">
        <v>0.0367</v>
      </c>
      <c r="K291" s="20">
        <f>'Индекс с Дивидендами'!$J291/'Индекс с Дивидендами'!$C291</f>
        <v>0.06609040158</v>
      </c>
    </row>
    <row r="292">
      <c r="A292" s="14">
        <v>2019.0</v>
      </c>
      <c r="B292" s="15" t="s">
        <v>43</v>
      </c>
      <c r="C292" s="14">
        <v>256.4</v>
      </c>
      <c r="D292" s="14">
        <v>0.0</v>
      </c>
      <c r="E292" s="18">
        <v>6.06988870756E12</v>
      </c>
      <c r="F292" s="14">
        <v>0.46</v>
      </c>
      <c r="G292" s="14">
        <v>0.6068594</v>
      </c>
      <c r="H292" s="18">
        <v>1.6944417488E12</v>
      </c>
      <c r="I292" s="14">
        <v>14.37</v>
      </c>
      <c r="J292" s="14">
        <v>16.61</v>
      </c>
      <c r="K292" s="20">
        <f>'Индекс с Дивидендами'!$J292/'Индекс с Дивидендами'!$C292</f>
        <v>0.06478159126</v>
      </c>
    </row>
    <row r="293">
      <c r="A293" s="14">
        <v>2019.0</v>
      </c>
      <c r="B293" s="15" t="s">
        <v>90</v>
      </c>
      <c r="C293" s="14">
        <v>78.36</v>
      </c>
      <c r="D293" s="14">
        <v>0.0</v>
      </c>
      <c r="E293" s="18">
        <v>2.01770335795E11</v>
      </c>
      <c r="F293" s="14">
        <v>0.32</v>
      </c>
      <c r="G293" s="14">
        <v>1.0</v>
      </c>
      <c r="H293" s="18">
        <v>6.45665074545E10</v>
      </c>
      <c r="I293" s="14">
        <v>0.55</v>
      </c>
      <c r="J293" s="14">
        <v>5.0</v>
      </c>
      <c r="K293" s="20">
        <f>'Индекс с Дивидендами'!$J293/'Индекс с Дивидендами'!$C293</f>
        <v>0.06380806534</v>
      </c>
    </row>
    <row r="294">
      <c r="A294" s="14">
        <v>2019.0</v>
      </c>
      <c r="B294" s="15" t="s">
        <v>93</v>
      </c>
      <c r="C294" s="14">
        <v>254.75</v>
      </c>
      <c r="D294" s="14">
        <v>0.0</v>
      </c>
      <c r="E294" s="18">
        <v>5.499275003E12</v>
      </c>
      <c r="F294" s="14">
        <v>0.48</v>
      </c>
      <c r="G294" s="14">
        <v>0.6454362</v>
      </c>
      <c r="H294" s="18">
        <v>1.70372695793E12</v>
      </c>
      <c r="I294" s="14">
        <v>14.45</v>
      </c>
      <c r="J294" s="14">
        <v>16.0</v>
      </c>
      <c r="K294" s="20">
        <f>'Индекс с Дивидендами'!$J294/'Индекс с Дивидендами'!$C294</f>
        <v>0.06280667321</v>
      </c>
    </row>
    <row r="295">
      <c r="A295" s="14">
        <v>2019.0</v>
      </c>
      <c r="B295" s="15" t="s">
        <v>104</v>
      </c>
      <c r="C295" s="14">
        <f>176750/100</f>
        <v>1767.5</v>
      </c>
      <c r="D295" s="14">
        <v>497560.0</v>
      </c>
      <c r="E295" s="18">
        <v>2.7482415625E11</v>
      </c>
      <c r="F295" s="14">
        <v>0.32</v>
      </c>
      <c r="G295" s="14">
        <v>1.0</v>
      </c>
      <c r="H295" s="18">
        <v>8.794373E10</v>
      </c>
      <c r="I295" s="14">
        <v>0.75</v>
      </c>
      <c r="J295" s="14">
        <f>10705.95/100</f>
        <v>107.0595</v>
      </c>
      <c r="K295" s="20">
        <f>'Индекс с Дивидендами'!$J295/'Индекс с Дивидендами'!$C295</f>
        <v>0.06057114569</v>
      </c>
    </row>
    <row r="296">
      <c r="A296" s="14">
        <v>2019.0</v>
      </c>
      <c r="B296" s="15" t="s">
        <v>132</v>
      </c>
      <c r="C296" s="14">
        <v>449.7</v>
      </c>
      <c r="D296" s="14">
        <v>0.0</v>
      </c>
      <c r="E296" s="18">
        <v>4.7660005643E12</v>
      </c>
      <c r="F296" s="14">
        <v>0.11</v>
      </c>
      <c r="G296" s="14">
        <v>1.0</v>
      </c>
      <c r="H296" s="18">
        <v>5.24260062074E11</v>
      </c>
      <c r="I296" s="14">
        <v>4.45</v>
      </c>
      <c r="J296" s="14">
        <v>26.67</v>
      </c>
      <c r="K296" s="20">
        <f>'Индекс с Дивидендами'!$J296/'Индекс с Дивидендами'!$C296</f>
        <v>0.05930620414</v>
      </c>
    </row>
    <row r="297">
      <c r="A297" s="14">
        <v>2019.0</v>
      </c>
      <c r="B297" s="15" t="s">
        <v>86</v>
      </c>
      <c r="C297" s="14">
        <v>400.4</v>
      </c>
      <c r="D297" s="14">
        <v>0.0</v>
      </c>
      <c r="E297" s="18">
        <v>2.64463136538E11</v>
      </c>
      <c r="F297" s="14">
        <v>0.18</v>
      </c>
      <c r="G297" s="14">
        <v>1.0</v>
      </c>
      <c r="H297" s="18">
        <v>4.76033645768E10</v>
      </c>
      <c r="I297" s="14">
        <v>0.4</v>
      </c>
      <c r="J297" s="14">
        <v>22.71</v>
      </c>
      <c r="K297" s="20">
        <f>'Индекс с Дивидендами'!$J297/'Индекс с Дивидендами'!$C297</f>
        <v>0.05671828172</v>
      </c>
    </row>
    <row r="298">
      <c r="A298" s="14">
        <v>2019.0</v>
      </c>
      <c r="B298" s="15" t="s">
        <v>78</v>
      </c>
      <c r="C298" s="14">
        <v>6169.0</v>
      </c>
      <c r="D298" s="14">
        <v>0.0</v>
      </c>
      <c r="E298" s="18">
        <v>4.410835E12</v>
      </c>
      <c r="F298" s="14">
        <v>0.54</v>
      </c>
      <c r="G298" s="14">
        <v>0.6749094</v>
      </c>
      <c r="H298" s="18">
        <v>1.60753356181E12</v>
      </c>
      <c r="I298" s="14">
        <v>13.63</v>
      </c>
      <c r="J298" s="14">
        <v>347.0</v>
      </c>
      <c r="K298" s="20">
        <f>'Индекс с Дивидендами'!$J298/'Индекс с Дивидендами'!$C298</f>
        <v>0.05624898687</v>
      </c>
    </row>
    <row r="299">
      <c r="A299" s="14">
        <v>2019.0</v>
      </c>
      <c r="B299" s="15" t="s">
        <v>147</v>
      </c>
      <c r="C299" s="14">
        <v>3425.0</v>
      </c>
      <c r="D299" s="14">
        <v>0.0</v>
      </c>
      <c r="E299" s="18">
        <v>3.49046390875E11</v>
      </c>
      <c r="F299" s="14">
        <v>0.71</v>
      </c>
      <c r="G299" s="14">
        <v>1.0</v>
      </c>
      <c r="H299" s="18">
        <v>2.47822937521E11</v>
      </c>
      <c r="I299" s="14">
        <v>2.1</v>
      </c>
      <c r="J299" s="14">
        <v>166.78</v>
      </c>
      <c r="K299" s="20">
        <f>'Индекс с Дивидендами'!$J299/'Индекс с Дивидендами'!$C299</f>
        <v>0.04869489051</v>
      </c>
    </row>
    <row r="300">
      <c r="A300" s="14">
        <v>2019.0</v>
      </c>
      <c r="B300" s="15" t="s">
        <v>88</v>
      </c>
      <c r="C300" s="14">
        <f>7103.5/50</f>
        <v>142.07</v>
      </c>
      <c r="D300" s="14">
        <v>0.0</v>
      </c>
      <c r="E300" s="18">
        <v>9.48751408816E11</v>
      </c>
      <c r="F300" s="14">
        <v>0.21</v>
      </c>
      <c r="G300" s="14">
        <v>1.0</v>
      </c>
      <c r="H300" s="18">
        <v>1.99237795851E11</v>
      </c>
      <c r="I300" s="14">
        <v>1.69</v>
      </c>
      <c r="J300" s="14">
        <f>306.6/50</f>
        <v>6.132</v>
      </c>
      <c r="K300" s="20">
        <f>'Индекс с Дивидендами'!$J300/'Индекс с Дивидендами'!$C300</f>
        <v>0.04316182164</v>
      </c>
    </row>
    <row r="301" hidden="1">
      <c r="A301" s="14">
        <v>2019.0</v>
      </c>
      <c r="B301" s="15" t="s">
        <v>21</v>
      </c>
      <c r="C301" s="14">
        <v>30.8</v>
      </c>
      <c r="D301" s="14">
        <v>0.0</v>
      </c>
      <c r="E301" s="18">
        <v>4.6794485775E11</v>
      </c>
      <c r="F301" s="14">
        <v>0.16</v>
      </c>
      <c r="G301" s="14">
        <v>1.0</v>
      </c>
      <c r="H301" s="18">
        <v>7.48711772399E10</v>
      </c>
      <c r="I301" s="14">
        <v>0.63</v>
      </c>
      <c r="J301" s="14"/>
      <c r="K301" s="14">
        <f>'Индекс с Дивидендами'!$J301/'Индекс с Дивидендами'!$C301</f>
        <v>0</v>
      </c>
    </row>
    <row r="302">
      <c r="A302" s="14">
        <v>2019.0</v>
      </c>
      <c r="B302" s="15" t="s">
        <v>166</v>
      </c>
      <c r="C302" s="14">
        <v>2134.5</v>
      </c>
      <c r="D302" s="14">
        <v>0.0</v>
      </c>
      <c r="E302" s="18">
        <v>5.79672295284E11</v>
      </c>
      <c r="F302" s="14">
        <v>0.41</v>
      </c>
      <c r="G302" s="14">
        <v>1.0</v>
      </c>
      <c r="H302" s="18">
        <v>2.37665641066E11</v>
      </c>
      <c r="I302" s="14">
        <v>2.02</v>
      </c>
      <c r="J302" s="14">
        <v>92.06</v>
      </c>
      <c r="K302" s="20">
        <f>'Индекс с Дивидендами'!$J302/'Индекс с Дивидендами'!$C302</f>
        <v>0.04312953853</v>
      </c>
    </row>
    <row r="303">
      <c r="A303" s="14">
        <v>2019.0</v>
      </c>
      <c r="B303" s="15" t="s">
        <v>157</v>
      </c>
      <c r="C303" s="14">
        <v>971.0</v>
      </c>
      <c r="D303" s="14">
        <v>0.0</v>
      </c>
      <c r="E303" s="18">
        <v>4.56552743171E11</v>
      </c>
      <c r="F303" s="14">
        <v>0.45</v>
      </c>
      <c r="G303" s="14">
        <v>1.0</v>
      </c>
      <c r="H303" s="18">
        <v>2.05448734427E11</v>
      </c>
      <c r="I303" s="14">
        <v>1.74</v>
      </c>
      <c r="J303" s="14">
        <v>37.03</v>
      </c>
      <c r="K303" s="20">
        <f>'Индекс с Дивидендами'!$J303/'Индекс с Дивидендами'!$C303</f>
        <v>0.03813594233</v>
      </c>
    </row>
    <row r="304">
      <c r="A304" s="14">
        <v>2019.0</v>
      </c>
      <c r="B304" s="15" t="s">
        <v>59</v>
      </c>
      <c r="C304" s="14">
        <v>5.042</v>
      </c>
      <c r="D304" s="14">
        <v>3.4452E10</v>
      </c>
      <c r="E304" s="18">
        <v>5.263848E11</v>
      </c>
      <c r="F304" s="14">
        <v>0.33</v>
      </c>
      <c r="G304" s="14">
        <v>1.0</v>
      </c>
      <c r="H304" s="18">
        <v>1.73706984E11</v>
      </c>
      <c r="I304" s="14">
        <v>1.47</v>
      </c>
      <c r="J304" s="14">
        <v>0.1716</v>
      </c>
      <c r="K304" s="20">
        <f>'Индекс с Дивидендами'!$J304/'Индекс с Дивидендами'!$C304</f>
        <v>0.03403411345</v>
      </c>
    </row>
    <row r="305">
      <c r="A305" s="14">
        <v>2019.0</v>
      </c>
      <c r="B305" s="15" t="s">
        <v>39</v>
      </c>
      <c r="C305" s="14">
        <v>103.5</v>
      </c>
      <c r="D305" s="14">
        <v>0.0</v>
      </c>
      <c r="E305" s="18">
        <v>1.14948786946E11</v>
      </c>
      <c r="F305" s="14">
        <v>0.41</v>
      </c>
      <c r="G305" s="14">
        <v>1.0</v>
      </c>
      <c r="H305" s="18">
        <v>4.71290026481E10</v>
      </c>
      <c r="I305" s="14">
        <v>0.4</v>
      </c>
      <c r="J305" s="14">
        <v>2.6877</v>
      </c>
      <c r="K305" s="20">
        <f>'Индекс с Дивидендами'!$J305/'Индекс с Дивидендами'!$C305</f>
        <v>0.02596811594</v>
      </c>
    </row>
    <row r="306">
      <c r="A306" s="14">
        <v>2019.0</v>
      </c>
      <c r="B306" s="15" t="s">
        <v>130</v>
      </c>
      <c r="C306" s="14">
        <v>1262.0</v>
      </c>
      <c r="D306" s="14">
        <v>0.0</v>
      </c>
      <c r="E306" s="18">
        <v>3.831818172E12</v>
      </c>
      <c r="F306" s="14">
        <v>0.21</v>
      </c>
      <c r="G306" s="14">
        <v>0.6749094</v>
      </c>
      <c r="H306" s="18">
        <v>5.43087321708E11</v>
      </c>
      <c r="I306" s="14">
        <v>4.61</v>
      </c>
      <c r="J306" s="14">
        <v>31.04</v>
      </c>
      <c r="K306" s="20">
        <f>'Индекс с Дивидендами'!$J306/'Индекс с Дивидендами'!$C306</f>
        <v>0.02459587956</v>
      </c>
    </row>
    <row r="307">
      <c r="A307" s="14">
        <v>2019.0</v>
      </c>
      <c r="B307" s="15" t="s">
        <v>9</v>
      </c>
      <c r="C307" s="14">
        <f>0.0459*5000</f>
        <v>229.5</v>
      </c>
      <c r="D307" s="19">
        <v>3.49934616108E12</v>
      </c>
      <c r="E307" s="18">
        <v>5.94888847384E11</v>
      </c>
      <c r="F307" s="14">
        <v>0.27</v>
      </c>
      <c r="G307" s="14">
        <v>1.0</v>
      </c>
      <c r="H307" s="18">
        <v>1.60619988794E11</v>
      </c>
      <c r="I307" s="14">
        <v>1.36</v>
      </c>
      <c r="J307" s="14">
        <f>0.0011*5000</f>
        <v>5.5</v>
      </c>
      <c r="K307" s="20">
        <f>'Индекс с Дивидендами'!$J307/'Индекс с Дивидендами'!$C307</f>
        <v>0.02396514161</v>
      </c>
    </row>
    <row r="308" hidden="1">
      <c r="A308" s="14">
        <v>2019.0</v>
      </c>
      <c r="B308" s="15" t="s">
        <v>180</v>
      </c>
      <c r="C308" s="14">
        <v>1311.2</v>
      </c>
      <c r="D308" s="14">
        <v>0.0</v>
      </c>
      <c r="E308" s="18">
        <v>1.56414710602E11</v>
      </c>
      <c r="F308" s="14">
        <v>0.89</v>
      </c>
      <c r="G308" s="14">
        <v>1.0</v>
      </c>
      <c r="H308" s="18">
        <v>1.39209092435E11</v>
      </c>
      <c r="I308" s="14">
        <v>1.18</v>
      </c>
      <c r="J308" s="14"/>
      <c r="K308" s="14">
        <f>'Индекс с Дивидендами'!$J308/'Индекс с Дивидендами'!$C308</f>
        <v>0</v>
      </c>
    </row>
    <row r="309">
      <c r="A309" s="14">
        <v>2019.0</v>
      </c>
      <c r="B309" s="15" t="s">
        <v>4</v>
      </c>
      <c r="C309" s="14">
        <v>5.879</v>
      </c>
      <c r="D309" s="14">
        <v>0.0</v>
      </c>
      <c r="E309" s="18">
        <v>1.75368864302E11</v>
      </c>
      <c r="F309" s="14">
        <v>0.2</v>
      </c>
      <c r="G309" s="14">
        <v>1.0</v>
      </c>
      <c r="H309" s="18">
        <v>3.50737728604E10</v>
      </c>
      <c r="I309" s="14">
        <v>0.3</v>
      </c>
      <c r="J309" s="14">
        <v>0.11</v>
      </c>
      <c r="K309" s="20">
        <f>'Индекс с Дивидендами'!$J309/'Индекс с Дивидендами'!$C309</f>
        <v>0.01871066508</v>
      </c>
    </row>
    <row r="310">
      <c r="A310" s="14">
        <v>2019.0</v>
      </c>
      <c r="B310" s="15" t="s">
        <v>141</v>
      </c>
      <c r="C310" s="14">
        <v>50.47</v>
      </c>
      <c r="D310" s="14">
        <v>0.0</v>
      </c>
      <c r="E310" s="18">
        <v>1.80309095276E12</v>
      </c>
      <c r="F310" s="14">
        <v>0.25</v>
      </c>
      <c r="G310" s="14">
        <v>0.9140466</v>
      </c>
      <c r="H310" s="18">
        <v>4.12027288716E11</v>
      </c>
      <c r="I310" s="14">
        <v>3.49</v>
      </c>
      <c r="J310" s="14">
        <v>0.65</v>
      </c>
      <c r="K310" s="20">
        <f>'Индекс с Дивидендами'!$J310/'Индекс с Дивидендами'!$C310</f>
        <v>0.01287893798</v>
      </c>
    </row>
    <row r="311">
      <c r="A311" s="14">
        <v>2019.0</v>
      </c>
      <c r="B311" s="15" t="s">
        <v>37</v>
      </c>
      <c r="C311" s="14">
        <v>15.236</v>
      </c>
      <c r="D311" s="14">
        <v>3.1845E9</v>
      </c>
      <c r="E311" s="18">
        <v>1.470274E11</v>
      </c>
      <c r="F311" s="14">
        <v>0.33</v>
      </c>
      <c r="G311" s="14">
        <v>1.0</v>
      </c>
      <c r="H311" s="18">
        <v>4.8519042E10</v>
      </c>
      <c r="I311" s="14">
        <v>0.41</v>
      </c>
      <c r="J311" s="14">
        <v>0.11</v>
      </c>
      <c r="K311" s="20">
        <f>'Индекс с Дивидендами'!$J311/'Индекс с Дивидендами'!$C311</f>
        <v>0.007219742715</v>
      </c>
    </row>
    <row r="312" hidden="1">
      <c r="A312" s="14">
        <v>2019.0</v>
      </c>
      <c r="B312" s="15" t="s">
        <v>181</v>
      </c>
      <c r="C312" s="14">
        <v>2697.0</v>
      </c>
      <c r="D312" s="14">
        <v>0.0</v>
      </c>
      <c r="E312" s="18">
        <v>7.89135875535E11</v>
      </c>
      <c r="F312" s="14">
        <v>0.96</v>
      </c>
      <c r="G312" s="14">
        <v>0.7211309</v>
      </c>
      <c r="H312" s="18">
        <v>5.46307453581E11</v>
      </c>
      <c r="I312" s="14">
        <v>4.63</v>
      </c>
      <c r="J312" s="14"/>
      <c r="K312" s="14">
        <f>'Индекс с Дивидендами'!$J312/'Индекс с Дивидендами'!$C312</f>
        <v>0</v>
      </c>
    </row>
    <row r="313">
      <c r="A313" s="14">
        <v>2018.0</v>
      </c>
      <c r="B313" s="15" t="s">
        <v>96</v>
      </c>
      <c r="C313" s="14">
        <v>942.9</v>
      </c>
      <c r="D313" s="14">
        <v>1.67543732E8</v>
      </c>
      <c r="E313" s="18">
        <v>7.89884924514E11</v>
      </c>
      <c r="F313" s="14">
        <v>0.2</v>
      </c>
      <c r="G313" s="14">
        <v>1.0</v>
      </c>
      <c r="H313" s="18">
        <v>1.57976984903E11</v>
      </c>
      <c r="I313" s="14">
        <v>1.61</v>
      </c>
      <c r="J313" s="14">
        <v>156.37</v>
      </c>
      <c r="K313" s="20">
        <f>'Индекс с Дивидендами'!$J313/'Индекс с Дивидендами'!$C313</f>
        <v>0.1658394315</v>
      </c>
    </row>
    <row r="314">
      <c r="A314" s="14">
        <v>2018.0</v>
      </c>
      <c r="B314" s="15" t="s">
        <v>39</v>
      </c>
      <c r="C314" s="14">
        <v>101.18</v>
      </c>
      <c r="D314" s="14">
        <v>0.0</v>
      </c>
      <c r="E314" s="18">
        <v>1.12372157133E11</v>
      </c>
      <c r="F314" s="14">
        <v>0.45</v>
      </c>
      <c r="G314" s="14">
        <v>1.0</v>
      </c>
      <c r="H314" s="18">
        <v>5.05674707098E10</v>
      </c>
      <c r="I314" s="14">
        <v>0.52</v>
      </c>
      <c r="J314" s="14">
        <v>12.8053</v>
      </c>
      <c r="K314" s="20">
        <f>'Индекс с Дивидендами'!$J314/'Индекс с Дивидендами'!$C314</f>
        <v>0.1265595968</v>
      </c>
    </row>
    <row r="315">
      <c r="A315" s="14">
        <v>2018.0</v>
      </c>
      <c r="B315" s="15" t="s">
        <v>82</v>
      </c>
      <c r="C315" s="14">
        <v>157.42</v>
      </c>
      <c r="D315" s="14">
        <v>0.0</v>
      </c>
      <c r="E315" s="18">
        <v>9.43453832121E11</v>
      </c>
      <c r="F315" s="14">
        <v>0.16</v>
      </c>
      <c r="G315" s="14">
        <v>1.0</v>
      </c>
      <c r="H315" s="18">
        <v>1.50952613139E11</v>
      </c>
      <c r="I315" s="14">
        <v>1.54</v>
      </c>
      <c r="J315" s="14">
        <v>19.46</v>
      </c>
      <c r="K315" s="20">
        <f>'Индекс с Дивидендами'!$J315/'Индекс с Дивидендами'!$C315</f>
        <v>0.1236183458</v>
      </c>
    </row>
    <row r="316" hidden="1">
      <c r="A316" s="14">
        <v>2018.0</v>
      </c>
      <c r="B316" s="15" t="s">
        <v>4</v>
      </c>
      <c r="C316" s="14">
        <v>5.17</v>
      </c>
      <c r="D316" s="14">
        <v>0.0</v>
      </c>
      <c r="E316" s="18">
        <v>1.40002100007E11</v>
      </c>
      <c r="F316" s="14">
        <v>0.18</v>
      </c>
      <c r="G316" s="14">
        <v>1.0</v>
      </c>
      <c r="H316" s="18">
        <v>2.52003780013E10</v>
      </c>
      <c r="I316" s="14">
        <v>0.26</v>
      </c>
      <c r="J316" s="14"/>
      <c r="K316" s="14">
        <f>'Индекс с Дивидендами'!$J316/'Индекс с Дивидендами'!$C316</f>
        <v>0</v>
      </c>
    </row>
    <row r="317">
      <c r="A317" s="14">
        <v>2018.0</v>
      </c>
      <c r="B317" s="15" t="s">
        <v>69</v>
      </c>
      <c r="C317" s="14">
        <v>43.04</v>
      </c>
      <c r="D317" s="14">
        <v>1.7878928E9</v>
      </c>
      <c r="E317" s="18">
        <v>4.809431632E11</v>
      </c>
      <c r="F317" s="14">
        <v>0.16</v>
      </c>
      <c r="G317" s="14">
        <v>1.0</v>
      </c>
      <c r="H317" s="18">
        <v>7.6950906112E10</v>
      </c>
      <c r="I317" s="14">
        <v>0.78</v>
      </c>
      <c r="J317" s="14">
        <v>5.313</v>
      </c>
      <c r="K317" s="20">
        <f>'Индекс с Дивидендами'!$J317/'Индекс с Дивидендами'!$C317</f>
        <v>0.1234433086</v>
      </c>
    </row>
    <row r="318">
      <c r="A318" s="14">
        <v>2018.0</v>
      </c>
      <c r="B318" s="15" t="s">
        <v>7</v>
      </c>
      <c r="C318" s="14">
        <v>98.62</v>
      </c>
      <c r="D318" s="14">
        <v>0.0</v>
      </c>
      <c r="E318" s="18">
        <v>7.26332910431E11</v>
      </c>
      <c r="F318" s="14">
        <v>0.34</v>
      </c>
      <c r="G318" s="14">
        <v>1.0</v>
      </c>
      <c r="H318" s="18">
        <v>2.46953189546E11</v>
      </c>
      <c r="I318" s="14">
        <v>2.52</v>
      </c>
      <c r="J318" s="14">
        <v>11.17</v>
      </c>
      <c r="K318" s="20">
        <f>'Индекс с Дивидендами'!$J318/'Индекс с Дивидендами'!$C318</f>
        <v>0.1132630298</v>
      </c>
    </row>
    <row r="319">
      <c r="A319" s="14">
        <v>2018.0</v>
      </c>
      <c r="B319" s="15" t="s">
        <v>74</v>
      </c>
      <c r="C319" s="14">
        <v>238.0</v>
      </c>
      <c r="D319" s="14">
        <v>0.0</v>
      </c>
      <c r="E319" s="18">
        <v>4.7561481485E11</v>
      </c>
      <c r="F319" s="14">
        <v>0.45</v>
      </c>
      <c r="G319" s="14">
        <v>1.0</v>
      </c>
      <c r="H319" s="18">
        <v>2.140266666825E11</v>
      </c>
      <c r="I319" s="14">
        <v>2.18</v>
      </c>
      <c r="J319" s="14">
        <v>26.0</v>
      </c>
      <c r="K319" s="20">
        <f>'Индекс с Дивидендами'!$J319/'Индекс с Дивидендами'!$C319</f>
        <v>0.1092436975</v>
      </c>
    </row>
    <row r="320">
      <c r="A320" s="14">
        <v>2018.0</v>
      </c>
      <c r="B320" s="15" t="s">
        <v>45</v>
      </c>
      <c r="C320" s="14">
        <f>13039/100</f>
        <v>130.39</v>
      </c>
      <c r="D320" s="14">
        <v>0.0</v>
      </c>
      <c r="E320" s="18">
        <v>2.06336276156E12</v>
      </c>
      <c r="F320" s="14">
        <v>0.38</v>
      </c>
      <c r="G320" s="14">
        <v>0.7408153</v>
      </c>
      <c r="H320" s="18">
        <v>5.80856867222E11</v>
      </c>
      <c r="I320" s="14">
        <v>5.92</v>
      </c>
      <c r="J320" s="14">
        <f>1384/100</f>
        <v>13.84</v>
      </c>
      <c r="K320" s="20">
        <f>'Индекс с Дивидендами'!$J320/'Индекс с Дивидендами'!$C320</f>
        <v>0.1061431091</v>
      </c>
    </row>
    <row r="321">
      <c r="A321" s="14">
        <v>2018.0</v>
      </c>
      <c r="B321" s="15" t="s">
        <v>9</v>
      </c>
      <c r="C321" s="14">
        <f>0.03385*5000</f>
        <v>169.25</v>
      </c>
      <c r="D321" s="19">
        <v>3.49934616108E12</v>
      </c>
      <c r="E321" s="18">
        <v>4.38714324269E11</v>
      </c>
      <c r="F321" s="14">
        <v>0.27</v>
      </c>
      <c r="G321" s="14">
        <v>1.0</v>
      </c>
      <c r="H321" s="18">
        <v>1.18452867553E11</v>
      </c>
      <c r="I321" s="14">
        <v>1.21</v>
      </c>
      <c r="J321" s="14">
        <f>0.00345349*5000</f>
        <v>17.26745</v>
      </c>
      <c r="K321" s="20">
        <f>'Индекс с Дивидендами'!$J321/'Индекс с Дивидендами'!$C321</f>
        <v>0.1020233383</v>
      </c>
    </row>
    <row r="322">
      <c r="A322" s="14">
        <v>2018.0</v>
      </c>
      <c r="B322" s="15" t="s">
        <v>108</v>
      </c>
      <c r="C322" s="14">
        <v>0.14812</v>
      </c>
      <c r="D322" s="14">
        <v>2.29439758151E11</v>
      </c>
      <c r="E322" s="18">
        <v>1.88803427652E11</v>
      </c>
      <c r="F322" s="14">
        <v>0.18</v>
      </c>
      <c r="G322" s="14">
        <v>1.0</v>
      </c>
      <c r="H322" s="18">
        <v>3.39846169774E10</v>
      </c>
      <c r="I322" s="14">
        <v>0.35</v>
      </c>
      <c r="J322" s="14">
        <v>0.0148</v>
      </c>
      <c r="K322" s="20">
        <f>'Индекс с Дивидендами'!$J322/'Индекс с Дивидендами'!$C322</f>
        <v>0.09991898461</v>
      </c>
    </row>
    <row r="323">
      <c r="A323" s="14">
        <v>2018.0</v>
      </c>
      <c r="B323" s="15" t="s">
        <v>164</v>
      </c>
      <c r="C323" s="14">
        <v>90.44</v>
      </c>
      <c r="D323" s="14">
        <v>2.5126E8</v>
      </c>
      <c r="E323" s="18">
        <v>6.683516E10</v>
      </c>
      <c r="F323" s="14">
        <v>0.34</v>
      </c>
      <c r="G323" s="14">
        <v>1.0</v>
      </c>
      <c r="H323" s="18">
        <v>2.27239544E10</v>
      </c>
      <c r="I323" s="14">
        <v>0.23</v>
      </c>
      <c r="J323" s="14">
        <v>8.27</v>
      </c>
      <c r="K323" s="20">
        <f>'Индекс с Дивидендами'!$J323/'Индекс с Дивидендами'!$C323</f>
        <v>0.09144183989</v>
      </c>
    </row>
    <row r="324">
      <c r="A324" s="14">
        <v>2018.0</v>
      </c>
      <c r="B324" s="15" t="s">
        <v>118</v>
      </c>
      <c r="C324" s="14">
        <v>2.6</v>
      </c>
      <c r="D324" s="14">
        <v>0.0</v>
      </c>
      <c r="E324" s="18">
        <v>1.63926635977E11</v>
      </c>
      <c r="F324" s="14">
        <v>0.16</v>
      </c>
      <c r="G324" s="14">
        <v>1.0</v>
      </c>
      <c r="H324" s="18">
        <v>2.62282617563E10</v>
      </c>
      <c r="I324" s="14">
        <v>0.27</v>
      </c>
      <c r="J324" s="14">
        <v>0.2221</v>
      </c>
      <c r="K324" s="20">
        <f>'Индекс с Дивидендами'!$J324/'Индекс с Дивидендами'!$C324</f>
        <v>0.08542307692</v>
      </c>
    </row>
    <row r="325">
      <c r="A325" s="14">
        <v>2018.0</v>
      </c>
      <c r="B325" s="15" t="s">
        <v>137</v>
      </c>
      <c r="C325" s="14">
        <v>522.0</v>
      </c>
      <c r="D325" s="14">
        <v>0.0</v>
      </c>
      <c r="E325" s="18">
        <v>7.6999437E10</v>
      </c>
      <c r="F325" s="14">
        <v>1.0</v>
      </c>
      <c r="G325" s="14">
        <v>0.992337</v>
      </c>
      <c r="H325" s="18">
        <v>7.64093903143E10</v>
      </c>
      <c r="I325" s="14">
        <v>0.78</v>
      </c>
      <c r="J325" s="14">
        <v>42.43</v>
      </c>
      <c r="K325" s="20">
        <f>'Индекс с Дивидендами'!$J325/'Индекс с Дивидендами'!$C325</f>
        <v>0.0812835249</v>
      </c>
    </row>
    <row r="326" hidden="1">
      <c r="A326" s="14">
        <v>2018.0</v>
      </c>
      <c r="B326" s="15" t="s">
        <v>186</v>
      </c>
      <c r="C326" s="14">
        <v>214.0</v>
      </c>
      <c r="D326" s="14">
        <v>0.0</v>
      </c>
      <c r="E326" s="18">
        <v>1.0433384355E11</v>
      </c>
      <c r="F326" s="14">
        <v>0.58</v>
      </c>
      <c r="G326" s="14">
        <v>0.5</v>
      </c>
      <c r="H326" s="18">
        <v>3.02568146295E10</v>
      </c>
      <c r="I326" s="14">
        <v>0.31</v>
      </c>
      <c r="J326" s="14"/>
      <c r="K326" s="14">
        <f>'Индекс с Дивидендами'!$J326/'Индекс с Дивидендами'!$C326</f>
        <v>0</v>
      </c>
    </row>
    <row r="327">
      <c r="A327" s="14">
        <v>2018.0</v>
      </c>
      <c r="B327" s="15" t="s">
        <v>147</v>
      </c>
      <c r="C327" s="14">
        <v>3511.5</v>
      </c>
      <c r="D327" s="14">
        <v>0.0</v>
      </c>
      <c r="E327" s="18">
        <v>3.57861723082E11</v>
      </c>
      <c r="F327" s="14">
        <v>0.71</v>
      </c>
      <c r="G327" s="14">
        <v>1.0</v>
      </c>
      <c r="H327" s="18">
        <v>2.54081823389E11</v>
      </c>
      <c r="I327" s="14">
        <v>2.59</v>
      </c>
      <c r="J327" s="14">
        <v>272.88</v>
      </c>
      <c r="K327" s="20">
        <f>'Индекс с Дивидендами'!$J327/'Индекс с Дивидендами'!$C327</f>
        <v>0.07771038018</v>
      </c>
    </row>
    <row r="328">
      <c r="A328" s="14">
        <v>2018.0</v>
      </c>
      <c r="B328" s="15" t="s">
        <v>94</v>
      </c>
      <c r="C328" s="14">
        <v>166.18</v>
      </c>
      <c r="D328" s="14">
        <v>6.820392E8</v>
      </c>
      <c r="E328" s="18">
        <v>1.6618E11</v>
      </c>
      <c r="F328" s="14">
        <v>1.0</v>
      </c>
      <c r="G328" s="14">
        <v>0.6820392</v>
      </c>
      <c r="H328" s="18">
        <v>1.13341274256E11</v>
      </c>
      <c r="I328" s="14">
        <v>1.16</v>
      </c>
      <c r="J328" s="14">
        <v>12.0</v>
      </c>
      <c r="K328" s="20">
        <f>'Индекс с Дивидендами'!$J328/'Индекс с Дивидендами'!$C328</f>
        <v>0.0722108557</v>
      </c>
    </row>
    <row r="329">
      <c r="A329" s="14">
        <v>2018.0</v>
      </c>
      <c r="B329" s="15" t="s">
        <v>90</v>
      </c>
      <c r="C329" s="14">
        <v>73.07</v>
      </c>
      <c r="D329" s="14">
        <v>0.0</v>
      </c>
      <c r="E329" s="18">
        <v>1.88149035689E11</v>
      </c>
      <c r="F329" s="14">
        <v>0.32</v>
      </c>
      <c r="G329" s="14">
        <v>1.0</v>
      </c>
      <c r="H329" s="18">
        <v>6.02076914204E10</v>
      </c>
      <c r="I329" s="14">
        <v>0.61</v>
      </c>
      <c r="J329" s="14">
        <v>5.0458</v>
      </c>
      <c r="K329" s="20">
        <f>'Индекс с Дивидендами'!$J329/'Индекс с Дивидендами'!$C329</f>
        <v>0.06905433146</v>
      </c>
    </row>
    <row r="330" hidden="1">
      <c r="A330" s="14">
        <v>2018.0</v>
      </c>
      <c r="B330" s="15" t="s">
        <v>71</v>
      </c>
      <c r="C330" s="14">
        <v>73.47</v>
      </c>
      <c r="D330" s="14">
        <v>0.0</v>
      </c>
      <c r="E330" s="18">
        <v>3.05834116352E10</v>
      </c>
      <c r="F330" s="14">
        <v>0.5</v>
      </c>
      <c r="G330" s="14">
        <v>1.0</v>
      </c>
      <c r="H330" s="18">
        <v>1.52917058176E10</v>
      </c>
      <c r="I330" s="14">
        <v>0.16</v>
      </c>
      <c r="J330" s="14"/>
      <c r="K330" s="14">
        <f>'Индекс с Дивидендами'!$J330/'Индекс с Дивидендами'!$C330</f>
        <v>0</v>
      </c>
    </row>
    <row r="331">
      <c r="A331" s="14">
        <v>2018.0</v>
      </c>
      <c r="B331" s="15" t="s">
        <v>76</v>
      </c>
      <c r="C331" s="14">
        <v>81.0</v>
      </c>
      <c r="D331" s="14">
        <v>0.0</v>
      </c>
      <c r="E331" s="18">
        <v>1.84388518098E11</v>
      </c>
      <c r="F331" s="14">
        <v>0.58</v>
      </c>
      <c r="G331" s="14">
        <v>1.0</v>
      </c>
      <c r="H331" s="18">
        <v>1.06945340497E11</v>
      </c>
      <c r="I331" s="14">
        <v>1.09</v>
      </c>
      <c r="J331" s="14">
        <v>5.47</v>
      </c>
      <c r="K331" s="20">
        <f>'Индекс с Дивидендами'!$J331/'Индекс с Дивидендами'!$C331</f>
        <v>0.0675308642</v>
      </c>
    </row>
    <row r="332" hidden="1">
      <c r="A332" s="14">
        <v>2018.0</v>
      </c>
      <c r="B332" s="15" t="s">
        <v>65</v>
      </c>
      <c r="C332" s="14">
        <v>410.0</v>
      </c>
      <c r="D332" s="14">
        <v>0.0</v>
      </c>
      <c r="E332" s="18">
        <v>7.370497307E10</v>
      </c>
      <c r="F332" s="14">
        <v>0.32</v>
      </c>
      <c r="G332" s="14">
        <v>1.0</v>
      </c>
      <c r="H332" s="18">
        <v>2.35855913824E10</v>
      </c>
      <c r="I332" s="14">
        <v>0.24</v>
      </c>
      <c r="J332" s="14"/>
      <c r="K332" s="14">
        <f>'Индекс с Дивидендами'!$J332/'Индекс с Дивидендами'!$C332</f>
        <v>0</v>
      </c>
    </row>
    <row r="333">
      <c r="A333" s="14">
        <v>2018.0</v>
      </c>
      <c r="B333" s="15" t="s">
        <v>93</v>
      </c>
      <c r="C333" s="14">
        <v>186.3</v>
      </c>
      <c r="D333" s="14">
        <v>0.0</v>
      </c>
      <c r="E333" s="18">
        <v>4.0216484124E12</v>
      </c>
      <c r="F333" s="14">
        <v>0.48</v>
      </c>
      <c r="G333" s="14">
        <v>0.6820392</v>
      </c>
      <c r="H333" s="18">
        <v>1.31660249562E12</v>
      </c>
      <c r="I333" s="14">
        <v>13.42</v>
      </c>
      <c r="J333" s="14">
        <v>12.0</v>
      </c>
      <c r="K333" s="20">
        <f>'Индекс с Дивидендами'!$J333/'Индекс с Дивидендами'!$C333</f>
        <v>0.06441223833</v>
      </c>
    </row>
    <row r="334">
      <c r="A334" s="14">
        <v>2018.0</v>
      </c>
      <c r="B334" s="15" t="s">
        <v>86</v>
      </c>
      <c r="C334" s="14">
        <v>376.3</v>
      </c>
      <c r="D334" s="14">
        <v>0.0</v>
      </c>
      <c r="E334" s="18">
        <v>2.48545150547E11</v>
      </c>
      <c r="F334" s="14">
        <v>0.18</v>
      </c>
      <c r="G334" s="14">
        <v>1.0</v>
      </c>
      <c r="H334" s="18">
        <v>4.47381270985E10</v>
      </c>
      <c r="I334" s="14">
        <v>0.46</v>
      </c>
      <c r="J334" s="14">
        <v>22.71</v>
      </c>
      <c r="K334" s="20">
        <f>'Индекс с Дивидендами'!$J334/'Индекс с Дивидендами'!$C334</f>
        <v>0.06035078395</v>
      </c>
    </row>
    <row r="335">
      <c r="A335" s="14">
        <v>2018.0</v>
      </c>
      <c r="B335" s="15" t="s">
        <v>136</v>
      </c>
      <c r="C335" s="14">
        <v>737.9</v>
      </c>
      <c r="D335" s="14">
        <v>0.0</v>
      </c>
      <c r="E335" s="18">
        <v>1.60765586753E12</v>
      </c>
      <c r="F335" s="14">
        <v>0.32</v>
      </c>
      <c r="G335" s="14">
        <v>0.992337</v>
      </c>
      <c r="H335" s="18">
        <v>5.10507648197E11</v>
      </c>
      <c r="I335" s="14">
        <v>5.2</v>
      </c>
      <c r="J335" s="14">
        <v>42.43</v>
      </c>
      <c r="K335" s="20">
        <f>'Индекс с Дивидендами'!$J335/'Индекс с Дивидендами'!$C335</f>
        <v>0.0575010164</v>
      </c>
    </row>
    <row r="336">
      <c r="A336" s="14">
        <v>2018.0</v>
      </c>
      <c r="B336" s="15" t="s">
        <v>106</v>
      </c>
      <c r="C336" s="14">
        <v>0.4858</v>
      </c>
      <c r="D336" s="14">
        <v>0.0</v>
      </c>
      <c r="E336" s="18">
        <v>2.07091105623E11</v>
      </c>
      <c r="F336" s="14">
        <v>0.19</v>
      </c>
      <c r="G336" s="14">
        <v>1.0</v>
      </c>
      <c r="H336" s="18">
        <v>3.93473100684E10</v>
      </c>
      <c r="I336" s="14">
        <v>0.4</v>
      </c>
      <c r="J336" s="14">
        <v>0.0263</v>
      </c>
      <c r="K336" s="20">
        <f>'Индекс с Дивидендами'!$J336/'Индекс с Дивидендами'!$C336</f>
        <v>0.05413750515</v>
      </c>
    </row>
    <row r="337">
      <c r="A337" s="14">
        <v>2018.0</v>
      </c>
      <c r="B337" s="15" t="s">
        <v>43</v>
      </c>
      <c r="C337" s="14">
        <v>153.5</v>
      </c>
      <c r="D337" s="14">
        <v>0.0</v>
      </c>
      <c r="E337" s="18">
        <v>3.63388423015E12</v>
      </c>
      <c r="F337" s="14">
        <v>0.46</v>
      </c>
      <c r="G337" s="14">
        <v>0.7408153</v>
      </c>
      <c r="H337" s="18">
        <v>1.23833703662E12</v>
      </c>
      <c r="I337" s="14">
        <v>12.62</v>
      </c>
      <c r="J337" s="14">
        <v>8.04</v>
      </c>
      <c r="K337" s="20">
        <f>'Индекс с Дивидендами'!$J337/'Индекс с Дивидендами'!$C337</f>
        <v>0.05237785016</v>
      </c>
    </row>
    <row r="338">
      <c r="A338" s="14">
        <v>2018.0</v>
      </c>
      <c r="B338" s="15" t="s">
        <v>88</v>
      </c>
      <c r="C338" s="14">
        <f>5399/50</f>
        <v>107.98</v>
      </c>
      <c r="D338" s="14">
        <v>0.0</v>
      </c>
      <c r="E338" s="18">
        <v>7.21096481481E11</v>
      </c>
      <c r="F338" s="14">
        <v>0.16</v>
      </c>
      <c r="G338" s="14">
        <v>1.0</v>
      </c>
      <c r="H338" s="18">
        <v>1.15375437037E11</v>
      </c>
      <c r="I338" s="14">
        <v>1.18</v>
      </c>
      <c r="J338" s="14">
        <f>278.23/50</f>
        <v>5.5646</v>
      </c>
      <c r="K338" s="20">
        <f>'Индекс с Дивидендами'!$J338/'Индекс с Дивидендами'!$C338</f>
        <v>0.05153361734</v>
      </c>
    </row>
    <row r="339" hidden="1">
      <c r="A339" s="14">
        <v>2018.0</v>
      </c>
      <c r="B339" s="15" t="s">
        <v>124</v>
      </c>
      <c r="C339" s="14">
        <v>528.8</v>
      </c>
      <c r="D339" s="14">
        <v>5.8824E7</v>
      </c>
      <c r="E339" s="18">
        <v>1.55530656E11</v>
      </c>
      <c r="F339" s="14">
        <v>0.2</v>
      </c>
      <c r="G339" s="14">
        <v>1.0</v>
      </c>
      <c r="H339" s="18">
        <v>3.11061312E10</v>
      </c>
      <c r="I339" s="14">
        <v>0.32</v>
      </c>
      <c r="J339" s="14"/>
      <c r="K339" s="14">
        <f>'Индекс с Дивидендами'!$J339/'Индекс с Дивидендами'!$C339</f>
        <v>0</v>
      </c>
    </row>
    <row r="340">
      <c r="A340" s="14">
        <v>2018.0</v>
      </c>
      <c r="B340" s="15" t="s">
        <v>132</v>
      </c>
      <c r="C340" s="14">
        <v>432.5</v>
      </c>
      <c r="D340" s="14">
        <v>0.0</v>
      </c>
      <c r="E340" s="18">
        <v>4.58371190585E12</v>
      </c>
      <c r="F340" s="14">
        <v>0.11</v>
      </c>
      <c r="G340" s="14">
        <v>1.0</v>
      </c>
      <c r="H340" s="18">
        <v>5.04208309644E11</v>
      </c>
      <c r="I340" s="14">
        <v>5.14</v>
      </c>
      <c r="J340" s="14">
        <v>21.23</v>
      </c>
      <c r="K340" s="20">
        <f>'Индекс с Дивидендами'!$J340/'Индекс с Дивидендами'!$C340</f>
        <v>0.0490867052</v>
      </c>
    </row>
    <row r="341">
      <c r="A341" s="14">
        <v>2018.0</v>
      </c>
      <c r="B341" s="15" t="s">
        <v>166</v>
      </c>
      <c r="C341" s="14">
        <v>1725.0</v>
      </c>
      <c r="D341" s="14">
        <v>0.0</v>
      </c>
      <c r="E341" s="18">
        <v>4.684632042E11</v>
      </c>
      <c r="F341" s="14">
        <v>0.41</v>
      </c>
      <c r="G341" s="14">
        <v>1.0</v>
      </c>
      <c r="H341" s="18">
        <v>1.92069913722E11</v>
      </c>
      <c r="I341" s="14">
        <v>1.96</v>
      </c>
      <c r="J341" s="14">
        <v>79.5</v>
      </c>
      <c r="K341" s="20">
        <f>'Индекс с Дивидендами'!$J341/'Индекс с Дивидендами'!$C341</f>
        <v>0.04608695652</v>
      </c>
    </row>
    <row r="342" hidden="1">
      <c r="A342" s="14">
        <v>2018.0</v>
      </c>
      <c r="B342" s="15" t="s">
        <v>21</v>
      </c>
      <c r="C342" s="14">
        <v>30.795</v>
      </c>
      <c r="D342" s="14">
        <v>0.0</v>
      </c>
      <c r="E342" s="18">
        <v>4.67868892675E11</v>
      </c>
      <c r="F342" s="14">
        <v>0.16</v>
      </c>
      <c r="G342" s="14">
        <v>1.0</v>
      </c>
      <c r="H342" s="18">
        <v>7.4859022828E10</v>
      </c>
      <c r="I342" s="14">
        <v>0.76</v>
      </c>
      <c r="J342" s="14"/>
      <c r="K342" s="14">
        <f>'Индекс с Дивидендами'!$J342/'Индекс с Дивидендами'!$C342</f>
        <v>0</v>
      </c>
    </row>
    <row r="343">
      <c r="A343" s="14">
        <v>2018.0</v>
      </c>
      <c r="B343" s="15" t="s">
        <v>78</v>
      </c>
      <c r="C343" s="14">
        <v>4997.0</v>
      </c>
      <c r="D343" s="14">
        <v>0.0</v>
      </c>
      <c r="E343" s="18">
        <v>3.74775E12</v>
      </c>
      <c r="F343" s="14">
        <v>0.55</v>
      </c>
      <c r="G343" s="14">
        <v>0.7359298</v>
      </c>
      <c r="H343" s="18">
        <v>1.51694449937E12</v>
      </c>
      <c r="I343" s="14">
        <v>15.46</v>
      </c>
      <c r="J343" s="14">
        <v>225.0</v>
      </c>
      <c r="K343" s="20">
        <f>'Индекс с Дивидендами'!$J343/'Индекс с Дивидендами'!$C343</f>
        <v>0.04502701621</v>
      </c>
    </row>
    <row r="344">
      <c r="A344" s="14">
        <v>2018.0</v>
      </c>
      <c r="B344" s="15" t="s">
        <v>104</v>
      </c>
      <c r="C344" s="14">
        <f>171000/100</f>
        <v>1710</v>
      </c>
      <c r="D344" s="14">
        <v>497560.0</v>
      </c>
      <c r="E344" s="18">
        <v>2.65883625E11</v>
      </c>
      <c r="F344" s="14">
        <v>0.32</v>
      </c>
      <c r="G344" s="14">
        <v>1.0</v>
      </c>
      <c r="H344" s="18">
        <v>8.508276E10</v>
      </c>
      <c r="I344" s="14">
        <v>0.87</v>
      </c>
      <c r="J344" s="14">
        <f>7578.27/100</f>
        <v>75.7827</v>
      </c>
      <c r="K344" s="20">
        <f>'Индекс с Дивидендами'!$J344/'Индекс с Дивидендами'!$C344</f>
        <v>0.04431736842</v>
      </c>
    </row>
    <row r="345">
      <c r="A345" s="14">
        <v>2018.0</v>
      </c>
      <c r="B345" s="15" t="s">
        <v>159</v>
      </c>
      <c r="C345" s="14">
        <v>53.65</v>
      </c>
      <c r="D345" s="14">
        <v>0.0</v>
      </c>
      <c r="E345" s="18">
        <v>5.54277123859E10</v>
      </c>
      <c r="F345" s="14">
        <v>0.3</v>
      </c>
      <c r="G345" s="14">
        <v>1.0</v>
      </c>
      <c r="H345" s="18">
        <v>1.66283137158E10</v>
      </c>
      <c r="I345" s="14">
        <v>0.17</v>
      </c>
      <c r="J345" s="14">
        <v>2.28</v>
      </c>
      <c r="K345" s="20">
        <f>'Индекс с Дивидендами'!$J345/'Индекс с Дивидендами'!$C345</f>
        <v>0.04249767008</v>
      </c>
    </row>
    <row r="346">
      <c r="A346" s="14">
        <v>2018.0</v>
      </c>
      <c r="B346" s="15" t="s">
        <v>112</v>
      </c>
      <c r="C346" s="14">
        <v>2546.0</v>
      </c>
      <c r="D346" s="14">
        <v>3.2375E7</v>
      </c>
      <c r="E346" s="18">
        <v>3.29707E11</v>
      </c>
      <c r="F346" s="14">
        <v>0.25</v>
      </c>
      <c r="G346" s="14">
        <v>1.0</v>
      </c>
      <c r="H346" s="18">
        <v>8.242675E10</v>
      </c>
      <c r="I346" s="14">
        <v>0.84</v>
      </c>
      <c r="J346" s="14">
        <v>105.0</v>
      </c>
      <c r="K346" s="20">
        <f>'Индекс с Дивидендами'!$J346/'Индекс с Дивидендами'!$C346</f>
        <v>0.04124116261</v>
      </c>
    </row>
    <row r="347">
      <c r="A347" s="14">
        <v>2018.0</v>
      </c>
      <c r="B347" s="15" t="s">
        <v>157</v>
      </c>
      <c r="C347" s="14">
        <v>731.2</v>
      </c>
      <c r="D347" s="14">
        <v>0.0</v>
      </c>
      <c r="E347" s="18">
        <v>3.33340720976E11</v>
      </c>
      <c r="F347" s="14">
        <v>0.38</v>
      </c>
      <c r="G347" s="14">
        <v>1.0</v>
      </c>
      <c r="H347" s="18">
        <v>1.26669473971E11</v>
      </c>
      <c r="I347" s="14">
        <v>1.29</v>
      </c>
      <c r="J347" s="14">
        <v>28.15</v>
      </c>
      <c r="K347" s="20">
        <f>'Индекс с Дивидендами'!$J347/'Индекс с Дивидендами'!$C347</f>
        <v>0.03849835886</v>
      </c>
    </row>
    <row r="348">
      <c r="A348" s="14">
        <v>2018.0</v>
      </c>
      <c r="B348" s="15" t="s">
        <v>142</v>
      </c>
      <c r="C348" s="14">
        <v>39.395</v>
      </c>
      <c r="D348" s="14">
        <v>0.0</v>
      </c>
      <c r="E348" s="18">
        <v>3.03420220468E11</v>
      </c>
      <c r="F348" s="14">
        <v>0.73</v>
      </c>
      <c r="G348" s="14">
        <v>1.0</v>
      </c>
      <c r="H348" s="18">
        <v>2.21496760942E11</v>
      </c>
      <c r="I348" s="14">
        <v>2.26</v>
      </c>
      <c r="J348" s="14">
        <v>1.38</v>
      </c>
      <c r="K348" s="20">
        <f>'Индекс с Дивидендами'!$J348/'Индекс с Дивидендами'!$C348</f>
        <v>0.03502982612</v>
      </c>
    </row>
    <row r="349">
      <c r="A349" s="14">
        <v>2018.0</v>
      </c>
      <c r="B349" s="15" t="s">
        <v>59</v>
      </c>
      <c r="C349" s="14">
        <v>3.8795</v>
      </c>
      <c r="D349" s="14">
        <v>3.4452E10</v>
      </c>
      <c r="E349" s="18">
        <v>4.050198E11</v>
      </c>
      <c r="F349" s="14">
        <v>0.33</v>
      </c>
      <c r="G349" s="14">
        <v>1.0</v>
      </c>
      <c r="H349" s="18">
        <v>1.33656534E11</v>
      </c>
      <c r="I349" s="14">
        <v>1.36</v>
      </c>
      <c r="J349" s="14">
        <v>0.13</v>
      </c>
      <c r="K349" s="20">
        <f>'Индекс с Дивидендами'!$J349/'Индекс с Дивидендами'!$C349</f>
        <v>0.03350947287</v>
      </c>
    </row>
    <row r="350">
      <c r="A350" s="14">
        <v>2018.0</v>
      </c>
      <c r="B350" s="15" t="s">
        <v>116</v>
      </c>
      <c r="C350" s="14">
        <v>580.2</v>
      </c>
      <c r="D350" s="14">
        <v>0.0</v>
      </c>
      <c r="E350" s="18">
        <v>6.47722463382E10</v>
      </c>
      <c r="F350" s="14">
        <v>0.43</v>
      </c>
      <c r="G350" s="14">
        <v>1.0</v>
      </c>
      <c r="H350" s="18">
        <v>2.78520659254E10</v>
      </c>
      <c r="I350" s="14">
        <v>0.28</v>
      </c>
      <c r="J350" s="14">
        <v>17.25</v>
      </c>
      <c r="K350" s="20">
        <f>'Индекс с Дивидендами'!$J350/'Индекс с Дивидендами'!$C350</f>
        <v>0.0297311272</v>
      </c>
    </row>
    <row r="351">
      <c r="A351" s="14">
        <v>2018.0</v>
      </c>
      <c r="B351" s="15" t="s">
        <v>141</v>
      </c>
      <c r="C351" s="14">
        <v>26.88</v>
      </c>
      <c r="D351" s="14">
        <v>0.0</v>
      </c>
      <c r="E351" s="18">
        <v>9.6031473767E11</v>
      </c>
      <c r="F351" s="14">
        <v>0.25</v>
      </c>
      <c r="G351" s="14">
        <v>1.0</v>
      </c>
      <c r="H351" s="18">
        <v>2.40078684418E11</v>
      </c>
      <c r="I351" s="14">
        <v>2.45</v>
      </c>
      <c r="J351" s="14">
        <v>0.65</v>
      </c>
      <c r="K351" s="20">
        <f>'Индекс с Дивидендами'!$J351/'Индекс с Дивидендами'!$C351</f>
        <v>0.02418154762</v>
      </c>
    </row>
    <row r="352">
      <c r="A352" s="14">
        <v>2018.0</v>
      </c>
      <c r="B352" s="15" t="s">
        <v>130</v>
      </c>
      <c r="C352" s="14">
        <v>1132.0</v>
      </c>
      <c r="D352" s="14">
        <v>0.0</v>
      </c>
      <c r="E352" s="18">
        <v>3.437098392E12</v>
      </c>
      <c r="F352" s="14">
        <v>0.24</v>
      </c>
      <c r="G352" s="14">
        <v>0.7408153</v>
      </c>
      <c r="H352" s="18">
        <v>6.11101218336E11</v>
      </c>
      <c r="I352" s="14">
        <v>6.23</v>
      </c>
      <c r="J352" s="14">
        <v>17.25</v>
      </c>
      <c r="K352" s="20">
        <f>'Индекс с Дивидендами'!$J352/'Индекс с Дивидендами'!$C352</f>
        <v>0.0152385159</v>
      </c>
    </row>
    <row r="353">
      <c r="A353" s="14">
        <v>2018.0</v>
      </c>
      <c r="B353" s="15" t="s">
        <v>37</v>
      </c>
      <c r="C353" s="14">
        <v>7.999</v>
      </c>
      <c r="D353" s="14">
        <v>3.474E9</v>
      </c>
      <c r="E353" s="18">
        <v>7.719035E10</v>
      </c>
      <c r="F353" s="14">
        <v>0.36</v>
      </c>
      <c r="G353" s="14">
        <v>1.0</v>
      </c>
      <c r="H353" s="18">
        <v>2.7788526E10</v>
      </c>
      <c r="I353" s="14">
        <v>0.28</v>
      </c>
      <c r="J353" s="14">
        <v>0.11</v>
      </c>
      <c r="K353" s="20">
        <f>'Индекс с Дивидендами'!$J353/'Индекс с Дивидендами'!$C353</f>
        <v>0.01375171896</v>
      </c>
    </row>
    <row r="354" hidden="1">
      <c r="A354" s="14">
        <v>2018.0</v>
      </c>
      <c r="B354" s="15" t="s">
        <v>181</v>
      </c>
      <c r="C354" s="14">
        <v>1930.0</v>
      </c>
      <c r="D354" s="14">
        <v>0.0</v>
      </c>
      <c r="E354" s="18">
        <v>5.6440467415E11</v>
      </c>
      <c r="F354" s="14">
        <v>0.96</v>
      </c>
      <c r="G354" s="14">
        <v>0.5</v>
      </c>
      <c r="H354" s="18">
        <v>2.70914243592E11</v>
      </c>
      <c r="I354" s="14">
        <v>2.76</v>
      </c>
      <c r="J354" s="14"/>
      <c r="K354" s="14">
        <f>'Индекс с Дивидендами'!$J354/'Индекс с Дивидендами'!$C354</f>
        <v>0</v>
      </c>
    </row>
    <row r="355">
      <c r="A355" s="14">
        <v>2017.0</v>
      </c>
      <c r="B355" s="15" t="s">
        <v>137</v>
      </c>
      <c r="C355" s="14">
        <v>365.0</v>
      </c>
      <c r="D355" s="14">
        <v>1.475085E8</v>
      </c>
      <c r="E355" s="18">
        <v>5.38406025E10</v>
      </c>
      <c r="F355" s="14">
        <v>1.0</v>
      </c>
      <c r="G355" s="14">
        <v>1.0</v>
      </c>
      <c r="H355" s="18">
        <v>5.38406025E10</v>
      </c>
      <c r="I355" s="14">
        <v>0.58</v>
      </c>
      <c r="J355" s="14">
        <v>50.59</v>
      </c>
      <c r="K355" s="20">
        <f>'Индекс с Дивидендами'!$J355/'Индекс с Дивидендами'!$C355</f>
        <v>0.1386027397</v>
      </c>
    </row>
    <row r="356">
      <c r="A356" s="14">
        <v>2017.0</v>
      </c>
      <c r="B356" s="15" t="s">
        <v>39</v>
      </c>
      <c r="C356" s="14">
        <v>138.45</v>
      </c>
      <c r="D356" s="14">
        <v>0.0</v>
      </c>
      <c r="E356" s="18">
        <v>1.53764826597E11</v>
      </c>
      <c r="F356" s="14">
        <v>0.45</v>
      </c>
      <c r="G356" s="14">
        <v>1.0</v>
      </c>
      <c r="H356" s="18">
        <v>6.91941719684E10</v>
      </c>
      <c r="I356" s="14">
        <v>0.74</v>
      </c>
      <c r="J356" s="14">
        <v>17.48</v>
      </c>
      <c r="K356" s="20">
        <f>'Индекс с Дивидендами'!$J356/'Индекс с Дивидендами'!$C356</f>
        <v>0.1262549657</v>
      </c>
    </row>
    <row r="357">
      <c r="A357" s="14">
        <v>2017.0</v>
      </c>
      <c r="B357" s="15" t="s">
        <v>96</v>
      </c>
      <c r="C357" s="14">
        <v>887.4</v>
      </c>
      <c r="D357" s="14">
        <v>0.0</v>
      </c>
      <c r="E357" s="18">
        <v>7.43391538884E11</v>
      </c>
      <c r="F357" s="14">
        <v>0.18</v>
      </c>
      <c r="G357" s="14">
        <v>1.0</v>
      </c>
      <c r="H357" s="18">
        <v>1.33810476999E11</v>
      </c>
      <c r="I357" s="14">
        <v>1.44</v>
      </c>
      <c r="J357" s="14">
        <v>110.06</v>
      </c>
      <c r="K357" s="20">
        <f>'Индекс с Дивидендами'!$J357/'Индекс с Дивидендами'!$C357</f>
        <v>0.1240252423</v>
      </c>
    </row>
    <row r="358">
      <c r="A358" s="14">
        <v>2017.0</v>
      </c>
      <c r="B358" s="15" t="s">
        <v>37</v>
      </c>
      <c r="C358" s="14">
        <v>12.09</v>
      </c>
      <c r="D358" s="14">
        <v>3.474E9</v>
      </c>
      <c r="E358" s="18">
        <v>1.166685E11</v>
      </c>
      <c r="F358" s="14">
        <v>0.36</v>
      </c>
      <c r="G358" s="14">
        <v>1.0</v>
      </c>
      <c r="H358" s="18">
        <v>4.200066E10</v>
      </c>
      <c r="I358" s="14">
        <v>0.45</v>
      </c>
      <c r="J358" s="14">
        <v>1.49</v>
      </c>
      <c r="K358" s="20">
        <f>'Индекс с Дивидендами'!$J358/'Индекс с Дивидендами'!$C358</f>
        <v>0.123242349</v>
      </c>
    </row>
    <row r="359" hidden="1">
      <c r="A359" s="14">
        <v>2017.0</v>
      </c>
      <c r="B359" s="15" t="s">
        <v>4</v>
      </c>
      <c r="C359" s="14">
        <v>4.742</v>
      </c>
      <c r="D359" s="14">
        <v>0.0</v>
      </c>
      <c r="E359" s="18">
        <v>1.28411984185E11</v>
      </c>
      <c r="F359" s="14">
        <v>0.23</v>
      </c>
      <c r="G359" s="14">
        <v>1.0</v>
      </c>
      <c r="H359" s="18">
        <v>2.95347563625E10</v>
      </c>
      <c r="I359" s="14">
        <v>0.32</v>
      </c>
      <c r="J359" s="14"/>
      <c r="K359" s="14">
        <f>'Индекс с Дивидендами'!$J359/'Индекс с Дивидендами'!$C359</f>
        <v>0</v>
      </c>
    </row>
    <row r="360">
      <c r="A360" s="14">
        <v>2017.0</v>
      </c>
      <c r="B360" s="15" t="s">
        <v>7</v>
      </c>
      <c r="C360" s="14">
        <v>75.06</v>
      </c>
      <c r="D360" s="14">
        <v>0.0</v>
      </c>
      <c r="E360" s="18">
        <v>5.52814320188E11</v>
      </c>
      <c r="F360" s="14">
        <v>0.34</v>
      </c>
      <c r="G360" s="14">
        <v>1.0</v>
      </c>
      <c r="H360" s="18">
        <v>1.87956868864E11</v>
      </c>
      <c r="I360" s="14">
        <v>2.02</v>
      </c>
      <c r="J360" s="14">
        <v>8.93</v>
      </c>
      <c r="K360" s="20">
        <f>'Индекс с Дивидендами'!$J360/'Индекс с Дивидендами'!$C360</f>
        <v>0.1189714895</v>
      </c>
    </row>
    <row r="361">
      <c r="A361" s="14">
        <v>2017.0</v>
      </c>
      <c r="B361" s="15" t="s">
        <v>136</v>
      </c>
      <c r="C361" s="14">
        <v>478.8</v>
      </c>
      <c r="D361" s="14">
        <v>6.97181024E8</v>
      </c>
      <c r="E361" s="18">
        <v>1.04315710716E12</v>
      </c>
      <c r="F361" s="14">
        <v>0.32</v>
      </c>
      <c r="G361" s="14">
        <v>1.0</v>
      </c>
      <c r="H361" s="18">
        <v>3.33810274291E11</v>
      </c>
      <c r="I361" s="14">
        <v>3.59</v>
      </c>
      <c r="J361" s="14">
        <v>50.59</v>
      </c>
      <c r="K361" s="20">
        <f>'Индекс с Дивидендами'!$J361/'Индекс с Дивидендами'!$C361</f>
        <v>0.1056599833</v>
      </c>
    </row>
    <row r="362" hidden="1">
      <c r="A362" s="14">
        <v>2017.0</v>
      </c>
      <c r="B362" s="15" t="s">
        <v>165</v>
      </c>
      <c r="C362" s="14">
        <v>737.0</v>
      </c>
      <c r="D362" s="14">
        <v>0.0</v>
      </c>
      <c r="E362" s="18">
        <v>8.2277051967E10</v>
      </c>
      <c r="F362" s="14">
        <v>0.29</v>
      </c>
      <c r="G362" s="14">
        <v>1.0</v>
      </c>
      <c r="H362" s="18">
        <v>2.38603450704E10</v>
      </c>
      <c r="I362" s="14">
        <v>0.26</v>
      </c>
      <c r="J362" s="14"/>
      <c r="K362" s="14">
        <f>'Индекс с Дивидендами'!$J362/'Индекс с Дивидендами'!$C362</f>
        <v>0</v>
      </c>
    </row>
    <row r="363">
      <c r="A363" s="14">
        <v>2017.0</v>
      </c>
      <c r="B363" s="15" t="s">
        <v>153</v>
      </c>
      <c r="C363" s="14">
        <v>7.85</v>
      </c>
      <c r="D363" s="14">
        <v>2.88897231E9</v>
      </c>
      <c r="E363" s="18">
        <v>1.5118955089E11</v>
      </c>
      <c r="F363" s="14">
        <v>0.15</v>
      </c>
      <c r="G363" s="14">
        <v>1.0</v>
      </c>
      <c r="H363" s="18">
        <v>2.26784326335E10</v>
      </c>
      <c r="I363" s="14">
        <v>0.24</v>
      </c>
      <c r="J363" s="14">
        <v>0.78</v>
      </c>
      <c r="K363" s="20">
        <f>'Индекс с Дивидендами'!$J363/'Индекс с Дивидендами'!$C363</f>
        <v>0.09936305732</v>
      </c>
    </row>
    <row r="364">
      <c r="A364" s="14">
        <v>2017.0</v>
      </c>
      <c r="B364" s="15" t="s">
        <v>108</v>
      </c>
      <c r="C364" s="14">
        <v>0.16205</v>
      </c>
      <c r="D364" s="14">
        <v>2.29439758151E11</v>
      </c>
      <c r="E364" s="18">
        <v>2.06559515602E11</v>
      </c>
      <c r="F364" s="14">
        <v>0.18</v>
      </c>
      <c r="G364" s="14">
        <v>1.0</v>
      </c>
      <c r="H364" s="18">
        <v>3.71807128084E10</v>
      </c>
      <c r="I364" s="14">
        <v>0.4</v>
      </c>
      <c r="J364" s="14">
        <v>0.0153828255</v>
      </c>
      <c r="K364" s="20">
        <f>'Индекс с Дивидендами'!$J364/'Индекс с Дивидендами'!$C364</f>
        <v>0.09492641469</v>
      </c>
    </row>
    <row r="365">
      <c r="A365" s="14">
        <v>2017.0</v>
      </c>
      <c r="B365" s="15" t="s">
        <v>74</v>
      </c>
      <c r="C365" s="14">
        <v>276.0</v>
      </c>
      <c r="D365" s="14">
        <v>9.59223156E8</v>
      </c>
      <c r="E365" s="18">
        <v>5.515533147E11</v>
      </c>
      <c r="F365" s="14">
        <v>0.48</v>
      </c>
      <c r="G365" s="14">
        <v>1.0</v>
      </c>
      <c r="H365" s="18">
        <v>2.64745591056E11</v>
      </c>
      <c r="I365" s="14">
        <v>2.85</v>
      </c>
      <c r="J365" s="14">
        <v>26.0</v>
      </c>
      <c r="K365" s="20">
        <f>'Индекс с Дивидендами'!$J365/'Индекс с Дивидендами'!$C365</f>
        <v>0.09420289855</v>
      </c>
    </row>
    <row r="366">
      <c r="A366" s="14">
        <v>2017.0</v>
      </c>
      <c r="B366" s="15" t="s">
        <v>76</v>
      </c>
      <c r="C366" s="14">
        <v>108.97</v>
      </c>
      <c r="D366" s="14">
        <v>0.0</v>
      </c>
      <c r="E366" s="18">
        <v>2.48059466878E11</v>
      </c>
      <c r="F366" s="14">
        <v>0.58</v>
      </c>
      <c r="G366" s="14">
        <v>1.0</v>
      </c>
      <c r="H366" s="18">
        <v>1.43874490789E11</v>
      </c>
      <c r="I366" s="14">
        <v>1.55</v>
      </c>
      <c r="J366" s="14">
        <v>10.17</v>
      </c>
      <c r="K366" s="20">
        <f>'Индекс с Дивидендами'!$J366/'Индекс с Дивидендами'!$C366</f>
        <v>0.09332843902</v>
      </c>
    </row>
    <row r="367">
      <c r="A367" s="14">
        <v>2017.0</v>
      </c>
      <c r="B367" s="15" t="s">
        <v>118</v>
      </c>
      <c r="C367" s="14">
        <v>2.529</v>
      </c>
      <c r="D367" s="14">
        <v>0.0</v>
      </c>
      <c r="E367" s="18">
        <v>1.59450177841E11</v>
      </c>
      <c r="F367" s="14">
        <v>0.16</v>
      </c>
      <c r="G367" s="14">
        <v>1.0</v>
      </c>
      <c r="H367" s="18">
        <v>2.55120284545E10</v>
      </c>
      <c r="I367" s="14">
        <v>0.27</v>
      </c>
      <c r="J367" s="14">
        <v>0.222050552</v>
      </c>
      <c r="K367" s="20">
        <f>'Индекс с Дивидендами'!$J367/'Индекс с Дивидендами'!$C367</f>
        <v>0.08780172084</v>
      </c>
    </row>
    <row r="368">
      <c r="A368" s="14">
        <v>2017.0</v>
      </c>
      <c r="B368" s="15" t="s">
        <v>82</v>
      </c>
      <c r="C368" s="14">
        <v>147.22</v>
      </c>
      <c r="D368" s="14">
        <v>0.0</v>
      </c>
      <c r="E368" s="18">
        <v>8.82322914273E11</v>
      </c>
      <c r="F368" s="14">
        <v>0.16</v>
      </c>
      <c r="G368" s="14">
        <v>1.0</v>
      </c>
      <c r="H368" s="18">
        <v>1.41171666284E11</v>
      </c>
      <c r="I368" s="14">
        <v>1.52</v>
      </c>
      <c r="J368" s="14">
        <v>12.56</v>
      </c>
      <c r="K368" s="20">
        <f>'Индекс с Дивидендами'!$J368/'Индекс с Дивидендами'!$C368</f>
        <v>0.08531449531</v>
      </c>
    </row>
    <row r="369">
      <c r="A369" s="14">
        <v>2017.0</v>
      </c>
      <c r="B369" s="15" t="s">
        <v>163</v>
      </c>
      <c r="C369" s="14">
        <v>568.5</v>
      </c>
      <c r="D369" s="14">
        <v>0.0</v>
      </c>
      <c r="E369" s="18">
        <v>7.76949990525E10</v>
      </c>
      <c r="F369" s="14">
        <v>0.21</v>
      </c>
      <c r="G369" s="14">
        <v>1.0</v>
      </c>
      <c r="H369" s="18">
        <v>1.6315949801E10</v>
      </c>
      <c r="I369" s="14">
        <v>0.18</v>
      </c>
      <c r="J369" s="14">
        <v>48.19</v>
      </c>
      <c r="K369" s="20">
        <f>'Индекс с Дивидендами'!$J369/'Индекс с Дивидендами'!$C369</f>
        <v>0.08476693052</v>
      </c>
    </row>
    <row r="370">
      <c r="A370" s="14">
        <v>2017.0</v>
      </c>
      <c r="B370" s="15" t="s">
        <v>90</v>
      </c>
      <c r="C370" s="14">
        <v>63.9</v>
      </c>
      <c r="D370" s="14">
        <v>0.0</v>
      </c>
      <c r="E370" s="18">
        <v>1.64537065561E11</v>
      </c>
      <c r="F370" s="14">
        <v>0.32</v>
      </c>
      <c r="G370" s="14">
        <v>1.0</v>
      </c>
      <c r="H370" s="18">
        <v>5.26518609794E10</v>
      </c>
      <c r="I370" s="14">
        <v>0.57</v>
      </c>
      <c r="J370" s="14">
        <v>5.39</v>
      </c>
      <c r="K370" s="20">
        <f>'Индекс с Дивидендами'!$J370/'Индекс с Дивидендами'!$C370</f>
        <v>0.08435054773</v>
      </c>
    </row>
    <row r="371">
      <c r="A371" s="14">
        <v>2017.0</v>
      </c>
      <c r="B371" s="15" t="s">
        <v>69</v>
      </c>
      <c r="C371" s="14">
        <v>41.86</v>
      </c>
      <c r="D371" s="14">
        <v>1.7878928E9</v>
      </c>
      <c r="E371" s="18">
        <v>4.677574538E11</v>
      </c>
      <c r="F371" s="14">
        <v>0.16</v>
      </c>
      <c r="G371" s="14">
        <v>1.0</v>
      </c>
      <c r="H371" s="18">
        <v>7.4841192608E10</v>
      </c>
      <c r="I371" s="14">
        <v>0.8</v>
      </c>
      <c r="J371" s="14">
        <v>3.22</v>
      </c>
      <c r="K371" s="20">
        <f>'Индекс с Дивидендами'!$J371/'Индекс с Дивидендами'!$C371</f>
        <v>0.07692307692</v>
      </c>
    </row>
    <row r="372">
      <c r="A372" s="14">
        <v>2017.0</v>
      </c>
      <c r="B372" s="15" t="s">
        <v>106</v>
      </c>
      <c r="C372" s="14">
        <v>0.7289</v>
      </c>
      <c r="D372" s="14">
        <v>1.06572203388E11</v>
      </c>
      <c r="E372" s="18">
        <v>3.10721916197E11</v>
      </c>
      <c r="F372" s="14">
        <v>0.25</v>
      </c>
      <c r="G372" s="14">
        <v>1.0</v>
      </c>
      <c r="H372" s="18">
        <v>7.76804790493E10</v>
      </c>
      <c r="I372" s="14">
        <v>0.84</v>
      </c>
      <c r="J372" s="14">
        <v>0.05</v>
      </c>
      <c r="K372" s="20">
        <f>'Индекс с Дивидендами'!$J372/'Индекс с Дивидендами'!$C372</f>
        <v>0.0685965153</v>
      </c>
    </row>
    <row r="373" hidden="1">
      <c r="A373" s="14">
        <v>2017.0</v>
      </c>
      <c r="B373" s="15" t="s">
        <v>71</v>
      </c>
      <c r="C373" s="14">
        <v>147.75</v>
      </c>
      <c r="D373" s="14">
        <v>0.0</v>
      </c>
      <c r="E373" s="18">
        <v>6.15040025738E10</v>
      </c>
      <c r="F373" s="14">
        <v>0.5</v>
      </c>
      <c r="G373" s="14">
        <v>1.0</v>
      </c>
      <c r="H373" s="18">
        <v>3.07520012869E10</v>
      </c>
      <c r="I373" s="14">
        <v>0.33</v>
      </c>
      <c r="J373" s="14"/>
      <c r="K373" s="14">
        <f>'Индекс с Дивидендами'!$J373/'Индекс с Дивидендами'!$C373</f>
        <v>0</v>
      </c>
    </row>
    <row r="374">
      <c r="A374" s="14">
        <v>2017.0</v>
      </c>
      <c r="B374" s="15" t="s">
        <v>164</v>
      </c>
      <c r="C374" s="14">
        <v>95.95</v>
      </c>
      <c r="D374" s="14">
        <v>2.5126E8</v>
      </c>
      <c r="E374" s="18">
        <v>7.090705E10</v>
      </c>
      <c r="F374" s="14">
        <v>0.34</v>
      </c>
      <c r="G374" s="14">
        <v>1.0</v>
      </c>
      <c r="H374" s="18">
        <v>2.4108397E10</v>
      </c>
      <c r="I374" s="14">
        <v>0.26</v>
      </c>
      <c r="J374" s="14">
        <v>6.45</v>
      </c>
      <c r="K374" s="20">
        <f>'Индекс с Дивидендами'!$J374/'Индекс с Дивидендами'!$C374</f>
        <v>0.06722251172</v>
      </c>
    </row>
    <row r="375" hidden="1">
      <c r="A375" s="14">
        <v>2017.0</v>
      </c>
      <c r="B375" s="15" t="s">
        <v>65</v>
      </c>
      <c r="C375" s="14">
        <v>415.0</v>
      </c>
      <c r="D375" s="14">
        <v>0.0</v>
      </c>
      <c r="E375" s="18">
        <v>7.4603814205E10</v>
      </c>
      <c r="F375" s="14">
        <v>0.27</v>
      </c>
      <c r="G375" s="14">
        <v>1.0</v>
      </c>
      <c r="H375" s="18">
        <v>2.01430298353E10</v>
      </c>
      <c r="I375" s="14">
        <v>0.22</v>
      </c>
      <c r="J375" s="14"/>
      <c r="K375" s="14">
        <f>'Индекс с Дивидендами'!$J375/'Индекс с Дивидендами'!$C375</f>
        <v>0</v>
      </c>
    </row>
    <row r="376">
      <c r="A376" s="14">
        <v>2017.0</v>
      </c>
      <c r="B376" s="15" t="s">
        <v>162</v>
      </c>
      <c r="C376" s="14">
        <v>512.9</v>
      </c>
      <c r="D376" s="14">
        <v>1.302E8</v>
      </c>
      <c r="E376" s="18">
        <v>3.17998E11</v>
      </c>
      <c r="F376" s="14">
        <v>0.21</v>
      </c>
      <c r="G376" s="14">
        <v>1.0</v>
      </c>
      <c r="H376" s="18">
        <v>6.677958E10</v>
      </c>
      <c r="I376" s="14">
        <v>0.72</v>
      </c>
      <c r="J376" s="14">
        <v>32.25</v>
      </c>
      <c r="K376" s="20">
        <f>'Индекс с Дивидендами'!$J376/'Индекс с Дивидендами'!$C376</f>
        <v>0.06287775395</v>
      </c>
    </row>
    <row r="377">
      <c r="A377" s="14">
        <v>2017.0</v>
      </c>
      <c r="B377" s="15" t="s">
        <v>45</v>
      </c>
      <c r="C377" s="14">
        <f>10850/100</f>
        <v>108.5</v>
      </c>
      <c r="D377" s="14">
        <v>0.0</v>
      </c>
      <c r="E377" s="18">
        <v>1.7169634146E12</v>
      </c>
      <c r="F377" s="14">
        <v>0.38</v>
      </c>
      <c r="G377" s="14">
        <v>0.9614159</v>
      </c>
      <c r="H377" s="18">
        <v>6.27272052076E11</v>
      </c>
      <c r="I377" s="14">
        <v>6.74</v>
      </c>
      <c r="J377" s="14">
        <f>670.3/100</f>
        <v>6.703</v>
      </c>
      <c r="K377" s="20">
        <f>'Индекс с Дивидендами'!$J377/'Индекс с Дивидендами'!$C377</f>
        <v>0.06177880184</v>
      </c>
    </row>
    <row r="378">
      <c r="A378" s="14">
        <v>2017.0</v>
      </c>
      <c r="B378" s="15" t="s">
        <v>43</v>
      </c>
      <c r="C378" s="14">
        <v>130.5</v>
      </c>
      <c r="D378" s="14">
        <v>0.0</v>
      </c>
      <c r="E378" s="18">
        <v>3.08939343345E12</v>
      </c>
      <c r="F378" s="14">
        <v>0.46</v>
      </c>
      <c r="G378" s="14">
        <v>0.9614159</v>
      </c>
      <c r="H378" s="18">
        <v>1.36628830541E12</v>
      </c>
      <c r="I378" s="14">
        <v>14.69</v>
      </c>
      <c r="J378" s="14">
        <v>8.04</v>
      </c>
      <c r="K378" s="20">
        <f>'Индекс с Дивидендами'!$J378/'Индекс с Дивидендами'!$C378</f>
        <v>0.0616091954</v>
      </c>
    </row>
    <row r="379">
      <c r="A379" s="14">
        <v>2017.0</v>
      </c>
      <c r="B379" s="15" t="s">
        <v>78</v>
      </c>
      <c r="C379" s="14">
        <v>3334.5</v>
      </c>
      <c r="D379" s="14">
        <v>0.0</v>
      </c>
      <c r="E379" s="18">
        <v>2.8362031738E12</v>
      </c>
      <c r="F379" s="14">
        <v>0.46</v>
      </c>
      <c r="G379" s="14">
        <v>0.9614159</v>
      </c>
      <c r="H379" s="18">
        <v>1.25431458038E12</v>
      </c>
      <c r="I379" s="14">
        <v>13.48</v>
      </c>
      <c r="J379" s="14">
        <v>205.0</v>
      </c>
      <c r="K379" s="20">
        <f>'Индекс с Дивидендами'!$J379/'Индекс с Дивидендами'!$C379</f>
        <v>0.06147848253</v>
      </c>
    </row>
    <row r="380" hidden="1">
      <c r="A380" s="14">
        <v>2017.0</v>
      </c>
      <c r="B380" s="15" t="s">
        <v>86</v>
      </c>
      <c r="C380" s="14">
        <v>326.5</v>
      </c>
      <c r="D380" s="14">
        <v>0.0</v>
      </c>
      <c r="E380" s="18">
        <v>2.15652382816E11</v>
      </c>
      <c r="F380" s="14">
        <v>0.18</v>
      </c>
      <c r="G380" s="14">
        <v>1.0</v>
      </c>
      <c r="H380" s="18">
        <v>3.88174289069E10</v>
      </c>
      <c r="I380" s="14">
        <v>0.42</v>
      </c>
      <c r="J380" s="14"/>
      <c r="K380" s="14">
        <f>'Индекс с Дивидендами'!$J380/'Индекс с Дивидендами'!$C380</f>
        <v>0</v>
      </c>
    </row>
    <row r="381">
      <c r="A381" s="14">
        <v>2017.0</v>
      </c>
      <c r="B381" s="15" t="s">
        <v>88</v>
      </c>
      <c r="C381" s="14">
        <f>4595/50</f>
        <v>91.9</v>
      </c>
      <c r="D381" s="14">
        <v>0.0</v>
      </c>
      <c r="E381" s="18">
        <v>6.13713341805E11</v>
      </c>
      <c r="F381" s="14">
        <v>0.16</v>
      </c>
      <c r="G381" s="14">
        <v>1.0</v>
      </c>
      <c r="H381" s="18">
        <v>9.81941346888E10</v>
      </c>
      <c r="I381" s="14">
        <v>1.06</v>
      </c>
      <c r="J381" s="14">
        <f>256.71/50</f>
        <v>5.1342</v>
      </c>
      <c r="K381" s="20">
        <f>'Индекс с Дивидендами'!$J381/'Индекс с Дивидендами'!$C381</f>
        <v>0.05586724701</v>
      </c>
    </row>
    <row r="382">
      <c r="A382" s="14">
        <v>2017.0</v>
      </c>
      <c r="B382" s="15" t="s">
        <v>112</v>
      </c>
      <c r="C382" s="14">
        <v>2499.0</v>
      </c>
      <c r="D382" s="14">
        <v>3.2375E7</v>
      </c>
      <c r="E382" s="18">
        <v>3.236205E11</v>
      </c>
      <c r="F382" s="14">
        <v>0.25</v>
      </c>
      <c r="G382" s="14">
        <v>1.0</v>
      </c>
      <c r="H382" s="18">
        <v>8.0905125E10</v>
      </c>
      <c r="I382" s="14">
        <v>0.87</v>
      </c>
      <c r="J382" s="14">
        <v>114.0</v>
      </c>
      <c r="K382" s="20">
        <f>'Индекс с Дивидендами'!$J382/'Индекс с Дивидендами'!$C382</f>
        <v>0.0456182473</v>
      </c>
    </row>
    <row r="383" hidden="1">
      <c r="A383" s="14">
        <v>2017.0</v>
      </c>
      <c r="B383" s="15" t="s">
        <v>124</v>
      </c>
      <c r="C383" s="14">
        <v>611.9</v>
      </c>
      <c r="D383" s="14">
        <v>5.8824E7</v>
      </c>
      <c r="E383" s="18">
        <v>1.79972028E11</v>
      </c>
      <c r="F383" s="14">
        <v>0.2</v>
      </c>
      <c r="G383" s="14">
        <v>1.0</v>
      </c>
      <c r="H383" s="18">
        <v>3.59944056E10</v>
      </c>
      <c r="I383" s="14">
        <v>0.39</v>
      </c>
      <c r="J383" s="14"/>
      <c r="K383" s="14">
        <f>'Индекс с Дивидендами'!$J383/'Индекс с Дивидендами'!$C383</f>
        <v>0</v>
      </c>
    </row>
    <row r="384">
      <c r="A384" s="14">
        <v>2017.0</v>
      </c>
      <c r="B384" s="15" t="s">
        <v>104</v>
      </c>
      <c r="C384" s="14">
        <f>179900/100</f>
        <v>1799</v>
      </c>
      <c r="D384" s="14">
        <v>497560.0</v>
      </c>
      <c r="E384" s="18">
        <v>2.797220125E11</v>
      </c>
      <c r="F384" s="14">
        <v>0.32</v>
      </c>
      <c r="G384" s="14">
        <v>1.0</v>
      </c>
      <c r="H384" s="18">
        <v>8.9511044E10</v>
      </c>
      <c r="I384" s="14">
        <v>0.96</v>
      </c>
      <c r="J384" s="14">
        <f>8170.97/100</f>
        <v>81.7097</v>
      </c>
      <c r="K384" s="20">
        <f>'Индекс с Дивидендами'!$J384/'Индекс с Дивидендами'!$C384</f>
        <v>0.04541951084</v>
      </c>
    </row>
    <row r="385" hidden="1">
      <c r="A385" s="14">
        <v>2017.0</v>
      </c>
      <c r="B385" s="15" t="s">
        <v>185</v>
      </c>
      <c r="C385" s="14">
        <v>0.8204</v>
      </c>
      <c r="D385" s="14">
        <v>0.0</v>
      </c>
      <c r="E385" s="18">
        <v>1.63118380562E11</v>
      </c>
      <c r="F385" s="14">
        <v>0.11</v>
      </c>
      <c r="G385" s="14">
        <v>1.0</v>
      </c>
      <c r="H385" s="18">
        <v>1.79430218618E10</v>
      </c>
      <c r="I385" s="14">
        <v>0.19</v>
      </c>
      <c r="J385" s="14"/>
      <c r="K385" s="14">
        <f>'Индекс с Дивидендами'!$J385/'Индекс с Дивидендами'!$C385</f>
        <v>0</v>
      </c>
    </row>
    <row r="386">
      <c r="A386" s="14">
        <v>2017.0</v>
      </c>
      <c r="B386" s="15" t="s">
        <v>59</v>
      </c>
      <c r="C386" s="14">
        <v>3.4</v>
      </c>
      <c r="D386" s="14">
        <v>3.0276E10</v>
      </c>
      <c r="E386" s="18">
        <v>3.5496E11</v>
      </c>
      <c r="F386" s="14">
        <v>0.29</v>
      </c>
      <c r="G386" s="14">
        <v>1.0</v>
      </c>
      <c r="H386" s="18">
        <v>1.029384E11</v>
      </c>
      <c r="I386" s="14">
        <v>1.11</v>
      </c>
      <c r="J386" s="14">
        <v>0.15</v>
      </c>
      <c r="K386" s="20">
        <f>'Индекс с Дивидендами'!$J386/'Индекс с Дивидендами'!$C386</f>
        <v>0.04411764706</v>
      </c>
    </row>
    <row r="387">
      <c r="A387" s="14">
        <v>2017.0</v>
      </c>
      <c r="B387" s="15" t="s">
        <v>132</v>
      </c>
      <c r="C387" s="14">
        <v>291.5</v>
      </c>
      <c r="D387" s="14">
        <v>0.0</v>
      </c>
      <c r="E387" s="18">
        <v>3.08936883366E12</v>
      </c>
      <c r="F387" s="14">
        <v>0.11</v>
      </c>
      <c r="G387" s="14">
        <v>1.0</v>
      </c>
      <c r="H387" s="18">
        <v>3.398305717026E11</v>
      </c>
      <c r="I387" s="14">
        <v>3.65</v>
      </c>
      <c r="J387" s="14">
        <v>9.81</v>
      </c>
      <c r="K387" s="20">
        <f>'Индекс с Дивидендами'!$J387/'Индекс с Дивидендами'!$C387</f>
        <v>0.0336535163</v>
      </c>
    </row>
    <row r="388">
      <c r="A388" s="14">
        <v>2017.0</v>
      </c>
      <c r="B388" s="15" t="s">
        <v>94</v>
      </c>
      <c r="C388" s="14">
        <v>189.0</v>
      </c>
      <c r="D388" s="14">
        <v>5.537682E8</v>
      </c>
      <c r="E388" s="18">
        <v>1.89E11</v>
      </c>
      <c r="F388" s="14">
        <v>1.0</v>
      </c>
      <c r="G388" s="14">
        <v>0.5537682</v>
      </c>
      <c r="H388" s="18">
        <v>1.046621898E11</v>
      </c>
      <c r="I388" s="14">
        <v>1.13</v>
      </c>
      <c r="J388" s="14">
        <v>6.0</v>
      </c>
      <c r="K388" s="20">
        <f>'Индекс с Дивидендами'!$J388/'Индекс с Дивидендами'!$C388</f>
        <v>0.03174603175</v>
      </c>
    </row>
    <row r="389">
      <c r="A389" s="14">
        <v>2017.0</v>
      </c>
      <c r="B389" s="15" t="s">
        <v>147</v>
      </c>
      <c r="C389" s="14">
        <v>6340.0</v>
      </c>
      <c r="D389" s="14">
        <v>0.0</v>
      </c>
      <c r="E389" s="18">
        <v>5.995189907E11</v>
      </c>
      <c r="F389" s="14">
        <v>0.69</v>
      </c>
      <c r="G389" s="14">
        <v>1.0</v>
      </c>
      <c r="H389" s="18">
        <v>4.13668103583E11</v>
      </c>
      <c r="I389" s="14">
        <v>4.45</v>
      </c>
      <c r="J389" s="14">
        <v>182.92</v>
      </c>
      <c r="K389" s="20">
        <f>'Индекс с Дивидендами'!$J389/'Индекс с Дивидендами'!$C389</f>
        <v>0.02885173502</v>
      </c>
    </row>
    <row r="390">
      <c r="A390" s="14">
        <v>2017.0</v>
      </c>
      <c r="B390" s="15" t="s">
        <v>21</v>
      </c>
      <c r="C390" s="14">
        <v>40.55</v>
      </c>
      <c r="D390" s="14">
        <v>0.0</v>
      </c>
      <c r="E390" s="18">
        <v>6.16076752654E11</v>
      </c>
      <c r="F390" s="14">
        <v>0.16</v>
      </c>
      <c r="G390" s="14">
        <v>1.0</v>
      </c>
      <c r="H390" s="18">
        <v>9.85722804247E10</v>
      </c>
      <c r="I390" s="14">
        <v>1.06</v>
      </c>
      <c r="J390" s="14">
        <v>1.14</v>
      </c>
      <c r="K390" s="20">
        <f>'Индекс с Дивидендами'!$J390/'Индекс с Дивидендами'!$C390</f>
        <v>0.0281134402</v>
      </c>
    </row>
    <row r="391">
      <c r="A391" s="14">
        <v>2017.0</v>
      </c>
      <c r="B391" s="15" t="s">
        <v>157</v>
      </c>
      <c r="C391" s="14">
        <v>706.6</v>
      </c>
      <c r="D391" s="14">
        <v>0.0</v>
      </c>
      <c r="E391" s="18">
        <v>3.03917606263E11</v>
      </c>
      <c r="F391" s="14">
        <v>0.37</v>
      </c>
      <c r="G391" s="14">
        <v>1.0</v>
      </c>
      <c r="H391" s="18">
        <v>1.12449514317E11</v>
      </c>
      <c r="I391" s="14">
        <v>1.21</v>
      </c>
      <c r="J391" s="14">
        <v>18.88</v>
      </c>
      <c r="K391" s="20">
        <f>'Индекс с Дивидендами'!$J391/'Индекс с Дивидендами'!$C391</f>
        <v>0.02671950184</v>
      </c>
    </row>
    <row r="392">
      <c r="A392" s="14">
        <v>2017.0</v>
      </c>
      <c r="B392" s="15" t="s">
        <v>93</v>
      </c>
      <c r="C392" s="14">
        <v>225.2</v>
      </c>
      <c r="D392" s="14">
        <v>0.0</v>
      </c>
      <c r="E392" s="18">
        <v>4.8613806896E12</v>
      </c>
      <c r="F392" s="14">
        <v>0.48</v>
      </c>
      <c r="G392" s="14">
        <v>0.5537682</v>
      </c>
      <c r="H392" s="18">
        <v>1.29219745632E12</v>
      </c>
      <c r="I392" s="14">
        <v>13.89</v>
      </c>
      <c r="J392" s="14">
        <v>6.0</v>
      </c>
      <c r="K392" s="20">
        <f>'Индекс с Дивидендами'!$J392/'Индекс с Дивидендами'!$C392</f>
        <v>0.02664298401</v>
      </c>
    </row>
    <row r="393">
      <c r="A393" s="14">
        <v>2017.0</v>
      </c>
      <c r="B393" s="15" t="s">
        <v>159</v>
      </c>
      <c r="C393" s="14">
        <v>73.9</v>
      </c>
      <c r="D393" s="14">
        <v>0.0</v>
      </c>
      <c r="E393" s="18">
        <v>7.63487035474E10</v>
      </c>
      <c r="F393" s="14">
        <v>0.3</v>
      </c>
      <c r="G393" s="14">
        <v>1.0</v>
      </c>
      <c r="H393" s="18">
        <v>2.29046110642E10</v>
      </c>
      <c r="I393" s="14">
        <v>0.25</v>
      </c>
      <c r="J393" s="14">
        <v>1.96</v>
      </c>
      <c r="K393" s="20">
        <f>'Индекс с Дивидендами'!$J393/'Индекс с Дивидендами'!$C393</f>
        <v>0.02652232747</v>
      </c>
    </row>
    <row r="394">
      <c r="A394" s="14">
        <v>2017.0</v>
      </c>
      <c r="B394" s="15" t="s">
        <v>9</v>
      </c>
      <c r="C394" s="14">
        <f>0.04732*5000</f>
        <v>236.6</v>
      </c>
      <c r="D394" s="19">
        <v>5.05461112156E12</v>
      </c>
      <c r="E394" s="18">
        <v>6.13292816083E11</v>
      </c>
      <c r="F394" s="14">
        <v>0.39</v>
      </c>
      <c r="G394" s="14">
        <v>1.0</v>
      </c>
      <c r="H394" s="18">
        <v>2.39184198272E11</v>
      </c>
      <c r="I394" s="14">
        <v>2.57</v>
      </c>
      <c r="J394" s="14">
        <f>0.00117*5000</f>
        <v>5.85</v>
      </c>
      <c r="K394" s="20">
        <f>'Индекс с Дивидендами'!$J394/'Индекс с Дивидендами'!$C394</f>
        <v>0.02472527473</v>
      </c>
    </row>
    <row r="395">
      <c r="A395" s="14">
        <v>2017.0</v>
      </c>
      <c r="B395" s="15" t="s">
        <v>141</v>
      </c>
      <c r="C395" s="14">
        <v>27.89</v>
      </c>
      <c r="D395" s="14">
        <v>0.0</v>
      </c>
      <c r="E395" s="18">
        <v>9.96397992322E11</v>
      </c>
      <c r="F395" s="14">
        <v>0.25</v>
      </c>
      <c r="G395" s="14">
        <v>1.0</v>
      </c>
      <c r="H395" s="18">
        <v>2.49099498081E11</v>
      </c>
      <c r="I395" s="14">
        <v>2.68</v>
      </c>
      <c r="J395" s="14">
        <v>0.6</v>
      </c>
      <c r="K395" s="20">
        <f>'Индекс с Дивидендами'!$J395/'Индекс с Дивидендами'!$C395</f>
        <v>0.02151308713</v>
      </c>
    </row>
    <row r="396">
      <c r="A396" s="14">
        <v>2017.0</v>
      </c>
      <c r="B396" s="15" t="s">
        <v>142</v>
      </c>
      <c r="C396" s="14">
        <v>28.145</v>
      </c>
      <c r="D396" s="14">
        <v>0.0</v>
      </c>
      <c r="E396" s="18">
        <v>2.16772740324E11</v>
      </c>
      <c r="F396" s="14">
        <v>0.73</v>
      </c>
      <c r="G396" s="14">
        <v>1.0</v>
      </c>
      <c r="H396" s="18">
        <v>1.58244100437E11</v>
      </c>
      <c r="I396" s="14">
        <v>1.7</v>
      </c>
      <c r="J396" s="14">
        <v>0.6</v>
      </c>
      <c r="K396" s="20">
        <f>'Индекс с Дивидендами'!$J396/'Индекс с Дивидендами'!$C396</f>
        <v>0.02131817374</v>
      </c>
    </row>
    <row r="397" hidden="1">
      <c r="A397" s="14">
        <v>2017.0</v>
      </c>
      <c r="B397" s="15" t="s">
        <v>187</v>
      </c>
      <c r="C397" s="14">
        <v>790.0</v>
      </c>
      <c r="D397" s="14">
        <v>0.0</v>
      </c>
      <c r="E397" s="18">
        <v>9.163738431E10</v>
      </c>
      <c r="F397" s="14">
        <v>0.26</v>
      </c>
      <c r="G397" s="14">
        <v>1.0</v>
      </c>
      <c r="H397" s="18">
        <v>2.38257199206E10</v>
      </c>
      <c r="I397" s="14">
        <v>0.26</v>
      </c>
      <c r="J397" s="14"/>
      <c r="K397" s="14">
        <f>'Индекс с Дивидендами'!$J397/'Индекс с Дивидендами'!$C397</f>
        <v>0</v>
      </c>
    </row>
    <row r="398">
      <c r="A398" s="14">
        <v>2017.0</v>
      </c>
      <c r="B398" s="15" t="s">
        <v>130</v>
      </c>
      <c r="C398" s="14">
        <v>677.7</v>
      </c>
      <c r="D398" s="14">
        <v>0.0</v>
      </c>
      <c r="E398" s="18">
        <v>2.0577045762E12</v>
      </c>
      <c r="F398" s="14">
        <v>0.27</v>
      </c>
      <c r="G398" s="14">
        <v>0.9614159</v>
      </c>
      <c r="H398" s="18">
        <v>5.34143672207E11</v>
      </c>
      <c r="I398" s="14">
        <v>5.74</v>
      </c>
      <c r="J398" s="14">
        <v>13.95</v>
      </c>
      <c r="K398" s="20">
        <f>'Индекс с Дивидендами'!$J398/'Индекс с Дивидендами'!$C398</f>
        <v>0.02058432935</v>
      </c>
    </row>
    <row r="399" hidden="1">
      <c r="A399" s="14">
        <v>2017.0</v>
      </c>
      <c r="B399" s="15" t="s">
        <v>181</v>
      </c>
      <c r="C399" s="14">
        <v>1894.0</v>
      </c>
      <c r="D399" s="14">
        <v>0.0</v>
      </c>
      <c r="E399" s="18">
        <v>5.40174517986E11</v>
      </c>
      <c r="F399" s="14">
        <v>0.95</v>
      </c>
      <c r="G399" s="14">
        <v>0.25</v>
      </c>
      <c r="H399" s="18">
        <v>1.28291448022E11</v>
      </c>
      <c r="I399" s="14">
        <v>1.38</v>
      </c>
      <c r="J399" s="14"/>
      <c r="K399" s="14">
        <f>'Индекс с Дивидендами'!$J399/'Индекс с Дивидендами'!$C399</f>
        <v>0</v>
      </c>
    </row>
    <row r="400">
      <c r="A400" s="14">
        <v>2016.0</v>
      </c>
      <c r="B400" s="15" t="s">
        <v>142</v>
      </c>
      <c r="C400" s="14">
        <v>32.07</v>
      </c>
      <c r="D400" s="14">
        <v>5.622458712E9</v>
      </c>
      <c r="E400" s="18">
        <v>2.4700308339645E11</v>
      </c>
      <c r="F400" s="14">
        <v>0.73</v>
      </c>
      <c r="G400" s="14">
        <v>1.0</v>
      </c>
      <c r="H400" s="18">
        <v>1.8031225087941E11</v>
      </c>
      <c r="I400" s="14">
        <v>1.72</v>
      </c>
      <c r="J400" s="14">
        <v>6.92</v>
      </c>
      <c r="K400" s="20">
        <f>'Индекс с Дивидендами'!$J400/'Индекс с Дивидендами'!$C400</f>
        <v>0.2157779857</v>
      </c>
    </row>
    <row r="401" hidden="1">
      <c r="A401" s="14">
        <v>2016.0</v>
      </c>
      <c r="B401" s="15" t="s">
        <v>39</v>
      </c>
      <c r="C401" s="14">
        <v>152.85</v>
      </c>
      <c r="D401" s="14">
        <v>4.55352683E8</v>
      </c>
      <c r="E401" s="18">
        <v>1.6975770130215E11</v>
      </c>
      <c r="F401" s="14">
        <v>0.41</v>
      </c>
      <c r="G401" s="14">
        <v>1.0</v>
      </c>
      <c r="H401" s="18">
        <v>6.960065753388E10</v>
      </c>
      <c r="I401" s="14">
        <v>0.67</v>
      </c>
      <c r="J401" s="14"/>
      <c r="K401" s="14">
        <f>'Индекс с Дивидендами'!$J401/'Индекс с Дивидендами'!$C401</f>
        <v>0</v>
      </c>
    </row>
    <row r="402">
      <c r="A402" s="14">
        <v>2016.0</v>
      </c>
      <c r="B402" s="15" t="s">
        <v>162</v>
      </c>
      <c r="C402" s="14">
        <v>579.6</v>
      </c>
      <c r="D402" s="14">
        <v>9.3E7</v>
      </c>
      <c r="E402" s="18">
        <v>3.59352E11</v>
      </c>
      <c r="F402" s="14">
        <v>0.15</v>
      </c>
      <c r="G402" s="14">
        <v>1.0</v>
      </c>
      <c r="H402" s="18">
        <v>5.39028E10</v>
      </c>
      <c r="I402" s="14">
        <v>0.52</v>
      </c>
      <c r="J402" s="14">
        <v>80.63</v>
      </c>
      <c r="K402" s="20">
        <f>'Индекс с Дивидендами'!$J402/'Индекс с Дивидендами'!$C402</f>
        <v>0.1391131815</v>
      </c>
    </row>
    <row r="403">
      <c r="A403" s="14">
        <v>2016.0</v>
      </c>
      <c r="B403" s="15" t="s">
        <v>150</v>
      </c>
      <c r="C403" s="14">
        <v>1228.5</v>
      </c>
      <c r="D403" s="14">
        <v>1.8766448E7</v>
      </c>
      <c r="E403" s="18">
        <v>3.6594572742E10</v>
      </c>
      <c r="F403" s="14">
        <v>0.63</v>
      </c>
      <c r="G403" s="14">
        <v>1.0</v>
      </c>
      <c r="H403" s="18">
        <v>2.305458082746E10</v>
      </c>
      <c r="I403" s="14">
        <v>0.22</v>
      </c>
      <c r="J403" s="14">
        <v>164.0</v>
      </c>
      <c r="K403" s="20">
        <f>'Индекс с Дивидендами'!$J403/'Индекс с Дивидендами'!$C403</f>
        <v>0.1334961335</v>
      </c>
    </row>
    <row r="404">
      <c r="A404" s="14">
        <v>2016.0</v>
      </c>
      <c r="B404" s="15" t="s">
        <v>118</v>
      </c>
      <c r="C404" s="14">
        <v>2.878</v>
      </c>
      <c r="D404" s="14">
        <v>1.1348767106E10</v>
      </c>
      <c r="E404" s="18">
        <v>1.8145417628531E11</v>
      </c>
      <c r="F404" s="14">
        <v>0.18</v>
      </c>
      <c r="G404" s="14">
        <v>1.0</v>
      </c>
      <c r="H404" s="18">
        <v>3.266175173136E10</v>
      </c>
      <c r="I404" s="14">
        <v>0.31</v>
      </c>
      <c r="J404" s="14">
        <v>0.31305378</v>
      </c>
      <c r="K404" s="20">
        <f>'Индекс с Дивидендами'!$J404/'Индекс с Дивидендами'!$C404</f>
        <v>0.1087747672</v>
      </c>
    </row>
    <row r="405">
      <c r="A405" s="14">
        <v>2016.0</v>
      </c>
      <c r="B405" s="15" t="s">
        <v>74</v>
      </c>
      <c r="C405" s="14">
        <v>259.0</v>
      </c>
      <c r="D405" s="14">
        <v>9.59223156E8</v>
      </c>
      <c r="E405" s="18">
        <v>5.17580827925E11</v>
      </c>
      <c r="F405" s="14">
        <v>0.48</v>
      </c>
      <c r="G405" s="14">
        <v>1.0</v>
      </c>
      <c r="H405" s="18">
        <v>2.48438797404E11</v>
      </c>
      <c r="I405" s="14">
        <v>2.37</v>
      </c>
      <c r="J405" s="14">
        <v>26.0</v>
      </c>
      <c r="K405" s="20">
        <f>'Индекс с Дивидендами'!$J405/'Индекс с Дивидендами'!$C405</f>
        <v>0.1003861004</v>
      </c>
    </row>
    <row r="406">
      <c r="A406" s="14">
        <v>2016.0</v>
      </c>
      <c r="B406" s="15" t="s">
        <v>91</v>
      </c>
      <c r="C406" s="14">
        <v>62.8</v>
      </c>
      <c r="D406" s="14">
        <v>1.44599951E8</v>
      </c>
      <c r="E406" s="18">
        <v>1.31606912316E10</v>
      </c>
      <c r="F406" s="14">
        <v>0.69</v>
      </c>
      <c r="G406" s="14">
        <v>1.0</v>
      </c>
      <c r="H406" s="18">
        <v>9.0808769498E9</v>
      </c>
      <c r="I406" s="14">
        <v>0.09</v>
      </c>
      <c r="J406" s="14">
        <v>5.92</v>
      </c>
      <c r="K406" s="20">
        <f>'Индекс с Дивидендами'!$J406/'Индекс с Дивидендами'!$C406</f>
        <v>0.09426751592</v>
      </c>
    </row>
    <row r="407" hidden="1">
      <c r="A407" s="14">
        <v>2016.0</v>
      </c>
      <c r="B407" s="15" t="s">
        <v>4</v>
      </c>
      <c r="C407" s="14">
        <v>4.3</v>
      </c>
      <c r="D407" s="14">
        <v>5.014739072E9</v>
      </c>
      <c r="E407" s="18">
        <v>1.026827524238E11</v>
      </c>
      <c r="F407" s="14">
        <v>0.21</v>
      </c>
      <c r="G407" s="14">
        <v>1.0</v>
      </c>
      <c r="H407" s="18">
        <v>2.1563378009E10</v>
      </c>
      <c r="I407" s="14">
        <v>0.21</v>
      </c>
      <c r="J407" s="14"/>
      <c r="K407" s="14">
        <f>'Индекс с Дивидендами'!$J407/'Индекс с Дивидендами'!$C407</f>
        <v>0</v>
      </c>
    </row>
    <row r="408">
      <c r="A408" s="14">
        <v>2016.0</v>
      </c>
      <c r="B408" s="15" t="s">
        <v>148</v>
      </c>
      <c r="C408" s="14">
        <v>3575.0</v>
      </c>
      <c r="D408" s="14">
        <v>6485440.0</v>
      </c>
      <c r="E408" s="18">
        <v>1.4490905E11</v>
      </c>
      <c r="F408" s="14">
        <v>0.16</v>
      </c>
      <c r="G408" s="14">
        <v>1.0</v>
      </c>
      <c r="H408" s="18">
        <v>2.3185448E10</v>
      </c>
      <c r="I408" s="14">
        <v>0.22</v>
      </c>
      <c r="J408" s="14">
        <v>335.0</v>
      </c>
      <c r="K408" s="20">
        <f>'Индекс с Дивидендами'!$J408/'Индекс с Дивидендами'!$C408</f>
        <v>0.09370629371</v>
      </c>
    </row>
    <row r="409" hidden="1">
      <c r="A409" s="14">
        <v>2016.0</v>
      </c>
      <c r="B409" s="15" t="s">
        <v>188</v>
      </c>
      <c r="C409" s="14">
        <v>280.0</v>
      </c>
      <c r="D409" s="14">
        <v>5.7385E7</v>
      </c>
      <c r="E409" s="18">
        <v>3.493E10</v>
      </c>
      <c r="F409" s="14">
        <v>0.46</v>
      </c>
      <c r="G409" s="14">
        <v>1.0</v>
      </c>
      <c r="H409" s="18">
        <v>1.60678E10</v>
      </c>
      <c r="I409" s="14">
        <v>0.15</v>
      </c>
      <c r="J409" s="14"/>
      <c r="K409" s="14">
        <f>'Индекс с Дивидендами'!$J409/'Индекс с Дивидендами'!$C409</f>
        <v>0</v>
      </c>
    </row>
    <row r="410">
      <c r="A410" s="14">
        <v>2016.0</v>
      </c>
      <c r="B410" s="15" t="s">
        <v>155</v>
      </c>
      <c r="C410" s="14">
        <v>13870.0</v>
      </c>
      <c r="D410" s="14">
        <v>576477.0</v>
      </c>
      <c r="E410" s="18">
        <v>1.5991469206E11</v>
      </c>
      <c r="F410" s="14">
        <v>0.1</v>
      </c>
      <c r="G410" s="14">
        <v>0.5</v>
      </c>
      <c r="H410" s="18">
        <v>7.995734603E9</v>
      </c>
      <c r="I410" s="14">
        <v>0.08</v>
      </c>
      <c r="J410" s="14">
        <v>1284.22</v>
      </c>
      <c r="K410" s="20">
        <f>'Индекс с Дивидендами'!$J410/'Индекс с Дивидендами'!$C410</f>
        <v>0.09258976208</v>
      </c>
    </row>
    <row r="411">
      <c r="A411" s="14">
        <v>2016.0</v>
      </c>
      <c r="B411" s="15" t="s">
        <v>112</v>
      </c>
      <c r="C411" s="14">
        <v>2599.0</v>
      </c>
      <c r="D411" s="14">
        <v>2.4605E7</v>
      </c>
      <c r="E411" s="18">
        <v>3.365705E11</v>
      </c>
      <c r="F411" s="14">
        <v>0.19</v>
      </c>
      <c r="G411" s="14">
        <v>1.0</v>
      </c>
      <c r="H411" s="18">
        <v>6.3948395E10</v>
      </c>
      <c r="I411" s="14">
        <v>0.61</v>
      </c>
      <c r="J411" s="14">
        <v>216.0</v>
      </c>
      <c r="K411" s="20">
        <f>'Индекс с Дивидендами'!$J411/'Индекс с Дивидендами'!$C411</f>
        <v>0.08310888803</v>
      </c>
    </row>
    <row r="412">
      <c r="A412" s="14">
        <v>2016.0</v>
      </c>
      <c r="B412" s="15" t="s">
        <v>49</v>
      </c>
      <c r="C412" s="14">
        <v>952.0</v>
      </c>
      <c r="D412" s="14">
        <v>1.6999985E7</v>
      </c>
      <c r="E412" s="18">
        <v>9.808476468E10</v>
      </c>
      <c r="F412" s="14">
        <v>0.33</v>
      </c>
      <c r="G412" s="14">
        <v>0.5</v>
      </c>
      <c r="H412" s="18">
        <v>1.61839861722E10</v>
      </c>
      <c r="I412" s="14">
        <v>0.15</v>
      </c>
      <c r="J412" s="14">
        <v>78.0</v>
      </c>
      <c r="K412" s="20">
        <f>'Индекс с Дивидендами'!$J412/'Индекс с Дивидендами'!$C412</f>
        <v>0.08193277311</v>
      </c>
    </row>
    <row r="413">
      <c r="A413" s="14">
        <v>2016.0</v>
      </c>
      <c r="B413" s="15" t="s">
        <v>153</v>
      </c>
      <c r="C413" s="14">
        <v>6.585</v>
      </c>
      <c r="D413" s="14">
        <v>2.88897231E9</v>
      </c>
      <c r="E413" s="18">
        <v>1.26825884409E11</v>
      </c>
      <c r="F413" s="14">
        <v>0.15</v>
      </c>
      <c r="G413" s="14">
        <v>1.0</v>
      </c>
      <c r="H413" s="18">
        <v>1.902388266135E10</v>
      </c>
      <c r="I413" s="14">
        <v>0.18</v>
      </c>
      <c r="J413" s="14">
        <v>0.52</v>
      </c>
      <c r="K413" s="20">
        <f>'Индекс с Дивидендами'!$J413/'Индекс с Дивидендами'!$C413</f>
        <v>0.07896735004</v>
      </c>
    </row>
    <row r="414">
      <c r="A414" s="14">
        <v>2016.0</v>
      </c>
      <c r="B414" s="15" t="s">
        <v>90</v>
      </c>
      <c r="C414" s="14">
        <v>84.0</v>
      </c>
      <c r="D414" s="14">
        <v>8.23972785E8</v>
      </c>
      <c r="E414" s="18">
        <v>2.16292856136E11</v>
      </c>
      <c r="F414" s="14">
        <v>0.32</v>
      </c>
      <c r="G414" s="14">
        <v>1.0</v>
      </c>
      <c r="H414" s="18">
        <v>6.921371396352E10</v>
      </c>
      <c r="I414" s="14">
        <v>0.66</v>
      </c>
      <c r="J414" s="14">
        <v>5.92</v>
      </c>
      <c r="K414" s="20">
        <f>'Индекс с Дивидендами'!$J414/'Индекс с Дивидендами'!$C414</f>
        <v>0.07047619048</v>
      </c>
    </row>
    <row r="415">
      <c r="A415" s="14">
        <v>2016.0</v>
      </c>
      <c r="B415" s="15" t="s">
        <v>163</v>
      </c>
      <c r="C415" s="14">
        <v>804.0</v>
      </c>
      <c r="D415" s="14">
        <v>2.52E7</v>
      </c>
      <c r="E415" s="18">
        <v>9.648E10</v>
      </c>
      <c r="F415" s="14">
        <v>0.21</v>
      </c>
      <c r="G415" s="14">
        <v>1.0</v>
      </c>
      <c r="H415" s="18">
        <v>2.02608E10</v>
      </c>
      <c r="I415" s="14">
        <v>0.19</v>
      </c>
      <c r="J415" s="14">
        <v>54.6</v>
      </c>
      <c r="K415" s="20">
        <f>'Индекс с Дивидендами'!$J415/'Индекс с Дивидендами'!$C415</f>
        <v>0.06791044776</v>
      </c>
    </row>
    <row r="416">
      <c r="A416" s="14">
        <v>2016.0</v>
      </c>
      <c r="B416" s="15" t="s">
        <v>45</v>
      </c>
      <c r="C416" s="14">
        <f>10122/100</f>
        <v>101.22</v>
      </c>
      <c r="D416" s="14">
        <v>5.2221007E7</v>
      </c>
      <c r="E416" s="18">
        <v>1.601760708072E12</v>
      </c>
      <c r="F416" s="14">
        <v>0.33</v>
      </c>
      <c r="G416" s="14">
        <v>1.0</v>
      </c>
      <c r="H416" s="18">
        <v>5.2858103366376E11</v>
      </c>
      <c r="I416" s="14">
        <v>5.05</v>
      </c>
      <c r="J416" s="14">
        <f>674.39/100</f>
        <v>6.7439</v>
      </c>
      <c r="K416" s="20">
        <f>'Индекс с Дивидендами'!$J416/'Индекс с Дивидендами'!$C416</f>
        <v>0.06662616084</v>
      </c>
    </row>
    <row r="417">
      <c r="A417" s="14">
        <v>2016.0</v>
      </c>
      <c r="B417" s="15" t="s">
        <v>82</v>
      </c>
      <c r="C417" s="14">
        <v>114.98</v>
      </c>
      <c r="D417" s="14">
        <v>8.39051814E8</v>
      </c>
      <c r="E417" s="18">
        <v>6.891012680552E11</v>
      </c>
      <c r="F417" s="14">
        <v>0.14</v>
      </c>
      <c r="G417" s="14">
        <v>1.0</v>
      </c>
      <c r="H417" s="18">
        <v>9.647417752773E10</v>
      </c>
      <c r="I417" s="14">
        <v>0.92</v>
      </c>
      <c r="J417" s="14">
        <v>6.59</v>
      </c>
      <c r="K417" s="20">
        <f>'Индекс с Дивидендами'!$J417/'Индекс с Дивидендами'!$C417</f>
        <v>0.05731431553</v>
      </c>
    </row>
    <row r="418">
      <c r="A418" s="14">
        <v>2016.0</v>
      </c>
      <c r="B418" s="15" t="s">
        <v>76</v>
      </c>
      <c r="C418" s="14">
        <v>125.59</v>
      </c>
      <c r="D418" s="14">
        <v>1.298822801E9</v>
      </c>
      <c r="E418" s="18">
        <v>2.8617395715587E11</v>
      </c>
      <c r="F418" s="14">
        <v>0.57</v>
      </c>
      <c r="G418" s="14">
        <v>1.0</v>
      </c>
      <c r="H418" s="18">
        <v>1.6311915557885E11</v>
      </c>
      <c r="I418" s="14">
        <v>1.56</v>
      </c>
      <c r="J418" s="14">
        <v>7.11</v>
      </c>
      <c r="K418" s="20">
        <f>'Индекс с Дивидендами'!$J418/'Индекс с Дивидендами'!$C418</f>
        <v>0.05661278764</v>
      </c>
    </row>
    <row r="419">
      <c r="A419" s="14">
        <v>2016.0</v>
      </c>
      <c r="B419" s="15" t="s">
        <v>96</v>
      </c>
      <c r="C419" s="14">
        <v>942.2</v>
      </c>
      <c r="D419" s="14">
        <v>1.50789359E8</v>
      </c>
      <c r="E419" s="18">
        <v>7.89298521452E11</v>
      </c>
      <c r="F419" s="14">
        <v>0.18</v>
      </c>
      <c r="G419" s="14">
        <v>1.0</v>
      </c>
      <c r="H419" s="18">
        <v>1.4207373386136E11</v>
      </c>
      <c r="I419" s="14">
        <v>1.36</v>
      </c>
      <c r="J419" s="14">
        <v>52.87</v>
      </c>
      <c r="K419" s="20">
        <f>'Индекс с Дивидендами'!$J419/'Индекс с Дивидендами'!$C419</f>
        <v>0.05611335173</v>
      </c>
    </row>
    <row r="420">
      <c r="A420" s="14">
        <v>2016.0</v>
      </c>
      <c r="B420" s="15" t="s">
        <v>78</v>
      </c>
      <c r="C420" s="14">
        <v>3449.0</v>
      </c>
      <c r="D420" s="14">
        <v>3.91259097E8</v>
      </c>
      <c r="E420" s="18">
        <v>2.933592666495E12</v>
      </c>
      <c r="F420" s="14">
        <v>0.46</v>
      </c>
      <c r="G420" s="14">
        <v>1.0</v>
      </c>
      <c r="H420" s="18">
        <v>1.3494526265877E12</v>
      </c>
      <c r="I420" s="14">
        <v>12.9</v>
      </c>
      <c r="J420" s="14">
        <v>187.0</v>
      </c>
      <c r="K420" s="20">
        <f>'Индекс с Дивидендами'!$J420/'Индекс с Дивидендами'!$C420</f>
        <v>0.05421861409</v>
      </c>
    </row>
    <row r="421">
      <c r="A421" s="14">
        <v>2016.0</v>
      </c>
      <c r="B421" s="15" t="s">
        <v>65</v>
      </c>
      <c r="C421" s="14">
        <v>387.5</v>
      </c>
      <c r="D421" s="14">
        <v>7.5502655E7</v>
      </c>
      <c r="E421" s="18">
        <v>6.96601879625E10</v>
      </c>
      <c r="F421" s="14">
        <v>0.42</v>
      </c>
      <c r="G421" s="14">
        <v>1.0</v>
      </c>
      <c r="H421" s="18">
        <v>2.925727894425E10</v>
      </c>
      <c r="I421" s="14">
        <v>0.28</v>
      </c>
      <c r="J421" s="14">
        <v>20.0</v>
      </c>
      <c r="K421" s="20">
        <f>'Индекс с Дивидендами'!$J421/'Индекс с Дивидендами'!$C421</f>
        <v>0.05161290323</v>
      </c>
    </row>
    <row r="422" hidden="1">
      <c r="A422" s="14">
        <v>2016.0</v>
      </c>
      <c r="B422" s="15" t="s">
        <v>71</v>
      </c>
      <c r="C422" s="14">
        <v>181.25</v>
      </c>
      <c r="D422" s="14">
        <v>1.87321835E8</v>
      </c>
      <c r="E422" s="18">
        <v>7.544907253125E10</v>
      </c>
      <c r="F422" s="14">
        <v>0.45</v>
      </c>
      <c r="G422" s="14">
        <v>1.0</v>
      </c>
      <c r="H422" s="18">
        <v>3.395208263906E10</v>
      </c>
      <c r="I422" s="14">
        <v>0.32</v>
      </c>
      <c r="J422" s="14"/>
      <c r="K422" s="14">
        <f>'Индекс с Дивидендами'!$J422/'Индекс с Дивидендами'!$C422</f>
        <v>0</v>
      </c>
    </row>
    <row r="423">
      <c r="A423" s="14">
        <v>2016.0</v>
      </c>
      <c r="B423" s="15" t="s">
        <v>43</v>
      </c>
      <c r="C423" s="14">
        <v>154.55</v>
      </c>
      <c r="D423" s="14">
        <v>9.942764579E9</v>
      </c>
      <c r="E423" s="18">
        <v>3.658741418695E12</v>
      </c>
      <c r="F423" s="14">
        <v>0.46</v>
      </c>
      <c r="G423" s="14">
        <v>0.9130333</v>
      </c>
      <c r="H423" s="18">
        <v>1.53665426562458E12</v>
      </c>
      <c r="I423" s="14">
        <v>14.68</v>
      </c>
      <c r="J423" s="14">
        <v>7.89</v>
      </c>
      <c r="K423" s="20">
        <f>'Индекс с Дивидендами'!$J423/'Индекс с Дивидендами'!$C423</f>
        <v>0.05105143966</v>
      </c>
    </row>
    <row r="424">
      <c r="A424" s="14">
        <v>2016.0</v>
      </c>
      <c r="B424" s="15" t="s">
        <v>108</v>
      </c>
      <c r="C424" s="14">
        <v>0.2032</v>
      </c>
      <c r="D424" s="14">
        <v>2.67679717843E11</v>
      </c>
      <c r="E424" s="18">
        <v>2.590119936464E11</v>
      </c>
      <c r="F424" s="14">
        <v>0.21</v>
      </c>
      <c r="G424" s="14">
        <v>1.0</v>
      </c>
      <c r="H424" s="18">
        <v>5.439251866574E10</v>
      </c>
      <c r="I424" s="14">
        <v>0.52</v>
      </c>
      <c r="J424" s="14">
        <v>0.01</v>
      </c>
      <c r="K424" s="20">
        <f>'Индекс с Дивидендами'!$J424/'Индекс с Дивидендами'!$C424</f>
        <v>0.04921259843</v>
      </c>
    </row>
    <row r="425">
      <c r="A425" s="14">
        <v>2016.0</v>
      </c>
      <c r="B425" s="15" t="s">
        <v>137</v>
      </c>
      <c r="C425" s="14">
        <v>235.0</v>
      </c>
      <c r="D425" s="14">
        <v>1.475085E8</v>
      </c>
      <c r="E425" s="18">
        <v>3.46644975E10</v>
      </c>
      <c r="F425" s="14">
        <v>1.0</v>
      </c>
      <c r="G425" s="14">
        <v>1.0</v>
      </c>
      <c r="H425" s="18">
        <v>3.46644975E10</v>
      </c>
      <c r="I425" s="14">
        <v>0.33</v>
      </c>
      <c r="J425" s="14">
        <v>10.96</v>
      </c>
      <c r="K425" s="20">
        <f>'Индекс с Дивидендами'!$J425/'Индекс с Дивидендами'!$C425</f>
        <v>0.04663829787</v>
      </c>
    </row>
    <row r="426">
      <c r="A426" s="14">
        <v>2016.0</v>
      </c>
      <c r="B426" s="15" t="s">
        <v>149</v>
      </c>
      <c r="C426" s="14">
        <v>3588.5</v>
      </c>
      <c r="D426" s="14">
        <v>1.7741579E7</v>
      </c>
      <c r="E426" s="18">
        <v>5.305471257765E11</v>
      </c>
      <c r="F426" s="14">
        <v>0.12</v>
      </c>
      <c r="G426" s="14">
        <v>1.0</v>
      </c>
      <c r="H426" s="18">
        <v>6.366565509318E10</v>
      </c>
      <c r="I426" s="14">
        <v>0.61</v>
      </c>
      <c r="J426" s="14">
        <v>164.0</v>
      </c>
      <c r="K426" s="20">
        <f>'Индекс с Дивидендами'!$J426/'Индекс с Дивидендами'!$C426</f>
        <v>0.04570154661</v>
      </c>
    </row>
    <row r="427">
      <c r="A427" s="14">
        <v>2016.0</v>
      </c>
      <c r="B427" s="15" t="s">
        <v>37</v>
      </c>
      <c r="C427" s="14">
        <v>23.17</v>
      </c>
      <c r="D427" s="14">
        <v>3.474E9</v>
      </c>
      <c r="E427" s="18">
        <v>2.235905E11</v>
      </c>
      <c r="F427" s="14">
        <v>0.36</v>
      </c>
      <c r="G427" s="14">
        <v>1.0</v>
      </c>
      <c r="H427" s="18">
        <v>8.049258E10</v>
      </c>
      <c r="I427" s="14">
        <v>0.77</v>
      </c>
      <c r="J427" s="14">
        <v>1.05</v>
      </c>
      <c r="K427" s="20">
        <f>'Индекс с Дивидендами'!$J427/'Индекс с Дивидендами'!$C427</f>
        <v>0.04531722054</v>
      </c>
    </row>
    <row r="428">
      <c r="A428" s="14">
        <v>2016.0</v>
      </c>
      <c r="B428" s="15" t="s">
        <v>106</v>
      </c>
      <c r="C428" s="14">
        <v>0.9259</v>
      </c>
      <c r="D428" s="14">
        <v>8.8838756925E10</v>
      </c>
      <c r="E428" s="18">
        <v>3.5763393494165E11</v>
      </c>
      <c r="F428" s="14">
        <v>0.23</v>
      </c>
      <c r="G428" s="14">
        <v>1.0</v>
      </c>
      <c r="H428" s="18">
        <v>8.225580503658E10</v>
      </c>
      <c r="I428" s="14">
        <v>0.79</v>
      </c>
      <c r="J428" s="14">
        <v>0.04</v>
      </c>
      <c r="K428" s="20">
        <f>'Индекс с Дивидендами'!$J428/'Индекс с Дивидендами'!$C428</f>
        <v>0.04320120963</v>
      </c>
    </row>
    <row r="429" hidden="1">
      <c r="A429" s="14">
        <v>2016.0</v>
      </c>
      <c r="B429" s="15" t="s">
        <v>86</v>
      </c>
      <c r="C429" s="14">
        <v>290.0</v>
      </c>
      <c r="D429" s="14">
        <v>1.05679575E8</v>
      </c>
      <c r="E429" s="18">
        <v>1.9154422976E11</v>
      </c>
      <c r="F429" s="14">
        <v>0.32</v>
      </c>
      <c r="G429" s="14">
        <v>0.5</v>
      </c>
      <c r="H429" s="18">
        <v>3.06470767616E10</v>
      </c>
      <c r="I429" s="14">
        <v>0.29</v>
      </c>
      <c r="J429" s="14"/>
      <c r="K429" s="14">
        <f>'Индекс с Дивидендами'!$J429/'Индекс с Дивидендами'!$C429</f>
        <v>0</v>
      </c>
    </row>
    <row r="430" hidden="1">
      <c r="A430" s="14">
        <v>2016.0</v>
      </c>
      <c r="B430" s="15" t="s">
        <v>88</v>
      </c>
      <c r="C430" s="14">
        <f>4431/50</f>
        <v>88.62</v>
      </c>
      <c r="D430" s="14">
        <v>9531387.0</v>
      </c>
      <c r="E430" s="18">
        <v>8.44671546957E11</v>
      </c>
      <c r="F430" s="14">
        <v>0.05</v>
      </c>
      <c r="G430" s="14">
        <v>1.0</v>
      </c>
      <c r="H430" s="18">
        <v>4.223357734785E10</v>
      </c>
      <c r="I430" s="14">
        <v>0.4</v>
      </c>
      <c r="J430" s="14"/>
      <c r="K430" s="14">
        <f>'Индекс с Дивидендами'!$J430/'Индекс с Дивидендами'!$C430</f>
        <v>0</v>
      </c>
    </row>
    <row r="431">
      <c r="A431" s="14">
        <v>2016.0</v>
      </c>
      <c r="B431" s="15" t="s">
        <v>21</v>
      </c>
      <c r="C431" s="14">
        <v>26.23</v>
      </c>
      <c r="D431" s="14">
        <v>1.519301486E9</v>
      </c>
      <c r="E431" s="18">
        <v>3.9851277983026E11</v>
      </c>
      <c r="F431" s="14">
        <v>0.1</v>
      </c>
      <c r="G431" s="14">
        <v>1.0</v>
      </c>
      <c r="H431" s="18">
        <v>3.985127798303E10</v>
      </c>
      <c r="I431" s="14">
        <v>0.38</v>
      </c>
      <c r="J431" s="14">
        <v>1.08</v>
      </c>
      <c r="K431" s="20">
        <f>'Индекс с Дивидендами'!$J431/'Индекс с Дивидендами'!$C431</f>
        <v>0.04117422798</v>
      </c>
    </row>
    <row r="432">
      <c r="A432" s="14">
        <v>2016.0</v>
      </c>
      <c r="B432" s="15" t="s">
        <v>147</v>
      </c>
      <c r="C432" s="14">
        <v>11000.0</v>
      </c>
      <c r="D432" s="14">
        <v>5.9573654E7</v>
      </c>
      <c r="E432" s="18">
        <v>1.040174905E12</v>
      </c>
      <c r="F432" s="14">
        <v>0.63</v>
      </c>
      <c r="G432" s="14">
        <v>1.0</v>
      </c>
      <c r="H432" s="18">
        <v>6.5531019015E11</v>
      </c>
      <c r="I432" s="14">
        <v>6.26</v>
      </c>
      <c r="J432" s="14">
        <v>432.79</v>
      </c>
      <c r="K432" s="20">
        <f>'Индекс с Дивидендами'!$J432/'Индекс с Дивидендами'!$C432</f>
        <v>0.03934454545</v>
      </c>
    </row>
    <row r="433" hidden="1">
      <c r="A433" s="14">
        <v>2016.0</v>
      </c>
      <c r="B433" s="15" t="s">
        <v>185</v>
      </c>
      <c r="C433" s="14">
        <v>1.1439</v>
      </c>
      <c r="D433" s="14">
        <v>2.1559513768E10</v>
      </c>
      <c r="E433" s="18">
        <v>2.2419934362684E11</v>
      </c>
      <c r="F433" s="14">
        <v>0.11</v>
      </c>
      <c r="G433" s="14">
        <v>1.0</v>
      </c>
      <c r="H433" s="18">
        <v>2.466192779895E10</v>
      </c>
      <c r="I433" s="14">
        <v>0.24</v>
      </c>
      <c r="J433" s="14"/>
      <c r="K433" s="14">
        <f>'Индекс с Дивидендами'!$J433/'Индекс с Дивидендами'!$C433</f>
        <v>0</v>
      </c>
    </row>
    <row r="434">
      <c r="A434" s="14">
        <v>2016.0</v>
      </c>
      <c r="B434" s="15" t="s">
        <v>157</v>
      </c>
      <c r="C434" s="14">
        <v>638.5</v>
      </c>
      <c r="D434" s="14">
        <v>7.9021205E7</v>
      </c>
      <c r="E434" s="18">
        <v>2.72729942248E11</v>
      </c>
      <c r="F434" s="14">
        <v>0.37</v>
      </c>
      <c r="G434" s="14">
        <v>0.5</v>
      </c>
      <c r="H434" s="18">
        <v>5.045503931588E10</v>
      </c>
      <c r="I434" s="14">
        <v>0.48</v>
      </c>
      <c r="J434" s="14">
        <v>22.86</v>
      </c>
      <c r="K434" s="20">
        <f>'Индекс с Дивидендами'!$J434/'Индекс с Дивидендами'!$C434</f>
        <v>0.03580266249</v>
      </c>
    </row>
    <row r="435">
      <c r="A435" s="14">
        <v>2016.0</v>
      </c>
      <c r="B435" s="15" t="s">
        <v>69</v>
      </c>
      <c r="C435" s="14">
        <v>33.265</v>
      </c>
      <c r="D435" s="14">
        <v>1.4526629E9</v>
      </c>
      <c r="E435" s="18">
        <v>3.7171408745E11</v>
      </c>
      <c r="F435" s="14">
        <v>0.13</v>
      </c>
      <c r="G435" s="14">
        <v>1.0</v>
      </c>
      <c r="H435" s="18">
        <v>4.83228313685E10</v>
      </c>
      <c r="I435" s="14">
        <v>0.46</v>
      </c>
      <c r="J435" s="14">
        <v>1.03</v>
      </c>
      <c r="K435" s="20">
        <f>'Индекс с Дивидендами'!$J435/'Индекс с Дивидендами'!$C435</f>
        <v>0.03096347512</v>
      </c>
    </row>
    <row r="436">
      <c r="A436" s="14">
        <v>2016.0</v>
      </c>
      <c r="B436" s="15" t="s">
        <v>132</v>
      </c>
      <c r="C436" s="14">
        <v>402.8</v>
      </c>
      <c r="D436" s="14">
        <v>1.16579956E9</v>
      </c>
      <c r="E436" s="18">
        <v>4.2689460246876E12</v>
      </c>
      <c r="F436" s="14">
        <v>0.11</v>
      </c>
      <c r="G436" s="14">
        <v>1.0</v>
      </c>
      <c r="H436" s="18">
        <v>4.6958406271564E11</v>
      </c>
      <c r="I436" s="14">
        <v>4.49</v>
      </c>
      <c r="J436" s="14">
        <v>11.75</v>
      </c>
      <c r="K436" s="20">
        <f>'Индекс с Дивидендами'!$J436/'Индекс с Дивидендами'!$C436</f>
        <v>0.02917080437</v>
      </c>
    </row>
    <row r="437">
      <c r="A437" s="14">
        <v>2016.0</v>
      </c>
      <c r="B437" s="15" t="s">
        <v>136</v>
      </c>
      <c r="C437" s="14">
        <v>427.0</v>
      </c>
      <c r="D437" s="14">
        <v>6.97181024E8</v>
      </c>
      <c r="E437" s="18">
        <v>9.303009289E11</v>
      </c>
      <c r="F437" s="14">
        <v>0.32</v>
      </c>
      <c r="G437" s="14">
        <v>1.0</v>
      </c>
      <c r="H437" s="18">
        <v>2.97696297248E11</v>
      </c>
      <c r="I437" s="14">
        <v>2.84</v>
      </c>
      <c r="J437" s="14">
        <v>10.96</v>
      </c>
      <c r="K437" s="20">
        <f>'Индекс с Дивидендами'!$J437/'Индекс с Дивидендами'!$C437</f>
        <v>0.02566744731</v>
      </c>
    </row>
    <row r="438">
      <c r="A438" s="14">
        <v>2016.0</v>
      </c>
      <c r="B438" s="15" t="s">
        <v>126</v>
      </c>
      <c r="C438" s="14">
        <v>2.48</v>
      </c>
      <c r="D438" s="14">
        <v>7.94987194E9</v>
      </c>
      <c r="E438" s="18">
        <v>9.8578412056E10</v>
      </c>
      <c r="F438" s="14">
        <v>0.2</v>
      </c>
      <c r="G438" s="14">
        <v>1.0</v>
      </c>
      <c r="H438" s="18">
        <v>1.97156824112E10</v>
      </c>
      <c r="I438" s="14">
        <v>0.19</v>
      </c>
      <c r="J438" s="14">
        <v>0.06</v>
      </c>
      <c r="K438" s="20">
        <f>'Индекс с Дивидендами'!$J438/'Индекс с Дивидендами'!$C438</f>
        <v>0.02419354839</v>
      </c>
    </row>
    <row r="439">
      <c r="A439" s="14">
        <v>2016.0</v>
      </c>
      <c r="B439" s="15" t="s">
        <v>7</v>
      </c>
      <c r="C439" s="14">
        <v>97.43</v>
      </c>
      <c r="D439" s="14">
        <v>2.504088314E9</v>
      </c>
      <c r="E439" s="18">
        <v>7.175686013309E11</v>
      </c>
      <c r="F439" s="14">
        <v>0.34</v>
      </c>
      <c r="G439" s="14">
        <v>1.0</v>
      </c>
      <c r="H439" s="18">
        <v>2.4397332445251E11</v>
      </c>
      <c r="I439" s="14">
        <v>2.33</v>
      </c>
      <c r="J439" s="14">
        <v>2.09</v>
      </c>
      <c r="K439" s="20">
        <f>'Индекс с Дивидендами'!$J439/'Индекс с Дивидендами'!$C439</f>
        <v>0.02145129837</v>
      </c>
    </row>
    <row r="440">
      <c r="A440" s="14">
        <v>2016.0</v>
      </c>
      <c r="B440" s="15" t="s">
        <v>141</v>
      </c>
      <c r="C440" s="14">
        <v>30.95</v>
      </c>
      <c r="D440" s="14">
        <v>8.931498676E9</v>
      </c>
      <c r="E440" s="18">
        <v>1.10571953611975E12</v>
      </c>
      <c r="F440" s="14">
        <v>0.25</v>
      </c>
      <c r="G440" s="14">
        <v>1.0</v>
      </c>
      <c r="H440" s="18">
        <v>2.7642988402994E11</v>
      </c>
      <c r="I440" s="14">
        <v>2.64</v>
      </c>
      <c r="J440" s="14">
        <v>0.6</v>
      </c>
      <c r="K440" s="20">
        <f>'Индекс с Дивидендами'!$J440/'Индекс с Дивидендами'!$C440</f>
        <v>0.01938610662</v>
      </c>
    </row>
    <row r="441">
      <c r="A441" s="14">
        <v>2016.0</v>
      </c>
      <c r="B441" s="15" t="s">
        <v>130</v>
      </c>
      <c r="C441" s="14">
        <v>791.9</v>
      </c>
      <c r="D441" s="14">
        <v>8.1980262E8</v>
      </c>
      <c r="E441" s="18">
        <v>2.4044507214E12</v>
      </c>
      <c r="F441" s="14">
        <v>0.27</v>
      </c>
      <c r="G441" s="14">
        <v>1.0</v>
      </c>
      <c r="H441" s="18">
        <v>6.49201694778E11</v>
      </c>
      <c r="I441" s="14">
        <v>6.2</v>
      </c>
      <c r="J441" s="14">
        <v>13.8</v>
      </c>
      <c r="K441" s="20">
        <f>'Индекс с Дивидендами'!$J441/'Индекс с Дивидендами'!$C441</f>
        <v>0.01742644273</v>
      </c>
    </row>
    <row r="442">
      <c r="A442" s="14">
        <v>2016.0</v>
      </c>
      <c r="B442" s="15" t="s">
        <v>9</v>
      </c>
      <c r="C442" s="14">
        <f>0.074*5000</f>
        <v>370</v>
      </c>
      <c r="D442" s="19">
        <v>5.054611121562E12</v>
      </c>
      <c r="E442" s="18">
        <v>9.5908005896301E11</v>
      </c>
      <c r="F442" s="14">
        <v>0.39</v>
      </c>
      <c r="G442" s="14">
        <v>1.0</v>
      </c>
      <c r="H442" s="18">
        <v>3.7404122299557E11</v>
      </c>
      <c r="I442" s="14">
        <v>3.57</v>
      </c>
      <c r="J442" s="14">
        <f>0.00117*5000</f>
        <v>5.85</v>
      </c>
      <c r="K442" s="20">
        <f>'Индекс с Дивидендами'!$J442/'Индекс с Дивидендами'!$C442</f>
        <v>0.01581081081</v>
      </c>
    </row>
    <row r="443">
      <c r="A443" s="14">
        <v>2016.0</v>
      </c>
      <c r="B443" s="15" t="s">
        <v>94</v>
      </c>
      <c r="C443" s="14">
        <v>129.75</v>
      </c>
      <c r="D443" s="14">
        <v>8.403829E8</v>
      </c>
      <c r="E443" s="18">
        <v>1.2975E11</v>
      </c>
      <c r="F443" s="14">
        <v>1.0</v>
      </c>
      <c r="G443" s="14">
        <v>0.8403829</v>
      </c>
      <c r="H443" s="18">
        <v>1.09039681275E11</v>
      </c>
      <c r="I443" s="14">
        <v>1.04</v>
      </c>
      <c r="J443" s="14">
        <v>1.97</v>
      </c>
      <c r="K443" s="20">
        <f>'Индекс с Дивидендами'!$J443/'Индекс с Дивидендами'!$C443</f>
        <v>0.01518304432</v>
      </c>
    </row>
    <row r="444">
      <c r="A444" s="14">
        <v>2016.0</v>
      </c>
      <c r="B444" s="15" t="s">
        <v>93</v>
      </c>
      <c r="C444" s="14">
        <v>173.25</v>
      </c>
      <c r="D444" s="14">
        <v>8.707824942E9</v>
      </c>
      <c r="E444" s="18">
        <v>3.739938741E12</v>
      </c>
      <c r="F444" s="14">
        <v>0.48</v>
      </c>
      <c r="G444" s="14">
        <v>0.8403829</v>
      </c>
      <c r="H444" s="18">
        <v>1.50863067119229E12</v>
      </c>
      <c r="I444" s="14">
        <v>14.42</v>
      </c>
      <c r="J444" s="14">
        <v>1.97</v>
      </c>
      <c r="K444" s="20">
        <f>'Индекс с Дивидендами'!$J444/'Индекс с Дивидендами'!$C444</f>
        <v>0.01137085137</v>
      </c>
    </row>
    <row r="445" hidden="1">
      <c r="A445" s="14">
        <v>2016.0</v>
      </c>
      <c r="B445" s="15" t="s">
        <v>160</v>
      </c>
      <c r="C445" s="14">
        <v>165.2</v>
      </c>
      <c r="D445" s="14">
        <v>1.76160953E8</v>
      </c>
      <c r="E445" s="18">
        <v>4.850298251932E11</v>
      </c>
      <c r="F445" s="14">
        <v>0.06</v>
      </c>
      <c r="G445" s="14">
        <v>1.0</v>
      </c>
      <c r="H445" s="18">
        <v>2.910178951159E10</v>
      </c>
      <c r="I445" s="14">
        <v>0.28</v>
      </c>
      <c r="J445" s="14"/>
      <c r="K445" s="14">
        <f>'Индекс с Дивидендами'!$J445/'Индекс с Дивидендами'!$C445</f>
        <v>0</v>
      </c>
    </row>
    <row r="446" hidden="1">
      <c r="A446" s="14">
        <v>2016.0</v>
      </c>
      <c r="B446" s="15" t="s">
        <v>187</v>
      </c>
      <c r="C446" s="14">
        <v>795.0</v>
      </c>
      <c r="D446" s="14">
        <v>2.268479E7</v>
      </c>
      <c r="E446" s="18">
        <v>9.017203866E10</v>
      </c>
      <c r="F446" s="14">
        <v>0.2</v>
      </c>
      <c r="G446" s="14">
        <v>1.0</v>
      </c>
      <c r="H446" s="18">
        <v>1.8034407732E10</v>
      </c>
      <c r="I446" s="14">
        <v>0.17</v>
      </c>
      <c r="J446" s="14"/>
      <c r="K446" s="14">
        <f>'Индекс с Дивидендами'!$J446/'Индекс с Дивидендами'!$C446</f>
        <v>0</v>
      </c>
    </row>
    <row r="447">
      <c r="A447" s="14">
        <v>2016.0</v>
      </c>
      <c r="B447" s="15" t="s">
        <v>59</v>
      </c>
      <c r="C447" s="14">
        <v>3.844</v>
      </c>
      <c r="D447" s="14">
        <v>3.0276E10</v>
      </c>
      <c r="E447" s="18">
        <v>4.013136E11</v>
      </c>
      <c r="F447" s="14">
        <v>0.29</v>
      </c>
      <c r="G447" s="14">
        <v>1.0</v>
      </c>
      <c r="H447" s="18">
        <v>1.16380944E11</v>
      </c>
      <c r="I447" s="14">
        <v>1.11</v>
      </c>
      <c r="J447" s="14">
        <v>0.02</v>
      </c>
      <c r="K447" s="20">
        <f>'Индекс с Дивидендами'!$J447/'Индекс с Дивидендами'!$C447</f>
        <v>0.005202913632</v>
      </c>
    </row>
    <row r="448">
      <c r="A448" s="14">
        <v>2016.0</v>
      </c>
      <c r="B448" s="15" t="s">
        <v>104</v>
      </c>
      <c r="C448" s="14">
        <f>197950/100</f>
        <v>1979.5</v>
      </c>
      <c r="D448" s="14">
        <v>1554875.0</v>
      </c>
      <c r="E448" s="18">
        <v>3.0778750625E11</v>
      </c>
      <c r="F448" s="14">
        <v>1.0</v>
      </c>
      <c r="G448" s="14">
        <v>1.0</v>
      </c>
      <c r="H448" s="18">
        <v>3.0778750625E11</v>
      </c>
      <c r="I448" s="14">
        <v>2.94</v>
      </c>
      <c r="J448" s="14">
        <f>823.31/100</f>
        <v>8.2331</v>
      </c>
      <c r="K448" s="20">
        <f>'Индекс с Дивидендами'!$J448/'Индекс с Дивидендами'!$C448</f>
        <v>0.004159181612</v>
      </c>
    </row>
    <row r="449" hidden="1">
      <c r="A449" s="14">
        <v>2016.0</v>
      </c>
      <c r="B449" s="15" t="s">
        <v>181</v>
      </c>
      <c r="C449" s="14">
        <v>1247.5</v>
      </c>
      <c r="D449" s="14">
        <v>6.7558961E7</v>
      </c>
      <c r="E449" s="18">
        <v>3.5486233304E11</v>
      </c>
      <c r="F449" s="14">
        <v>0.95</v>
      </c>
      <c r="G449" s="14">
        <v>0.25</v>
      </c>
      <c r="H449" s="18">
        <v>8.4279804097E10</v>
      </c>
      <c r="I449" s="14">
        <v>0.81</v>
      </c>
      <c r="J449" s="14"/>
      <c r="K449" s="14">
        <f>'Индекс с Дивидендами'!$J449/'Индекс с Дивидендами'!$C449</f>
        <v>0</v>
      </c>
    </row>
    <row r="450">
      <c r="A450" s="14">
        <v>2015.0</v>
      </c>
      <c r="B450" s="15" t="s">
        <v>142</v>
      </c>
      <c r="C450" s="14">
        <v>44.225</v>
      </c>
      <c r="D450" s="14">
        <v>5.622458712E9</v>
      </c>
      <c r="E450" s="18">
        <v>3.4062087194288E11</v>
      </c>
      <c r="F450" s="14">
        <v>0.73</v>
      </c>
      <c r="G450" s="14">
        <v>1.0</v>
      </c>
      <c r="H450" s="18">
        <v>2.486532365183E11</v>
      </c>
      <c r="I450" s="14">
        <v>3.01</v>
      </c>
      <c r="J450" s="14">
        <v>8.21</v>
      </c>
      <c r="K450" s="20">
        <f>'Индекс с Дивидендами'!$J450/'Индекс с Дивидендами'!$C450</f>
        <v>0.1856416054</v>
      </c>
    </row>
    <row r="451" hidden="1">
      <c r="A451" s="14">
        <v>2015.0</v>
      </c>
      <c r="B451" s="15" t="s">
        <v>39</v>
      </c>
      <c r="C451" s="14">
        <v>56.1</v>
      </c>
      <c r="D451" s="14">
        <v>3.55397216E8</v>
      </c>
      <c r="E451" s="18">
        <v>6.23055743739E10</v>
      </c>
      <c r="F451" s="14">
        <v>0.32</v>
      </c>
      <c r="G451" s="14">
        <v>1.0</v>
      </c>
      <c r="H451" s="18">
        <v>1.993778379965E10</v>
      </c>
      <c r="I451" s="14">
        <v>0.24</v>
      </c>
      <c r="J451" s="14"/>
      <c r="K451" s="14">
        <f>'Индекс с Дивидендами'!$J451/'Индекс с Дивидендами'!$C451</f>
        <v>0</v>
      </c>
    </row>
    <row r="452">
      <c r="A452" s="14">
        <v>2015.0</v>
      </c>
      <c r="B452" s="15" t="s">
        <v>45</v>
      </c>
      <c r="C452" s="14">
        <f>9150/100</f>
        <v>91.5</v>
      </c>
      <c r="D452" s="14">
        <v>4.7473643E7</v>
      </c>
      <c r="E452" s="18">
        <v>1.4479461054E12</v>
      </c>
      <c r="F452" s="14">
        <v>0.3</v>
      </c>
      <c r="G452" s="14">
        <v>1.0</v>
      </c>
      <c r="H452" s="18">
        <v>4.3438383162E11</v>
      </c>
      <c r="I452" s="14">
        <v>5.26</v>
      </c>
      <c r="J452" s="14">
        <f>1297.06/100</f>
        <v>12.9706</v>
      </c>
      <c r="K452" s="20">
        <f>'Индекс с Дивидендами'!$J452/'Индекс с Дивидендами'!$C452</f>
        <v>0.1417551913</v>
      </c>
    </row>
    <row r="453">
      <c r="A453" s="14">
        <v>2015.0</v>
      </c>
      <c r="B453" s="15" t="s">
        <v>155</v>
      </c>
      <c r="C453" s="14">
        <v>12360.0</v>
      </c>
      <c r="D453" s="14">
        <v>1152954.0</v>
      </c>
      <c r="E453" s="18">
        <v>1.4250508968E11</v>
      </c>
      <c r="F453" s="14">
        <v>0.1</v>
      </c>
      <c r="G453" s="14">
        <v>1.0</v>
      </c>
      <c r="H453" s="18">
        <v>1.4250508968E10</v>
      </c>
      <c r="I453" s="14">
        <v>0.17</v>
      </c>
      <c r="J453" s="14">
        <v>1619.07</v>
      </c>
      <c r="K453" s="20">
        <f>'Индекс с Дивидендами'!$J453/'Индекс с Дивидендами'!$C453</f>
        <v>0.1309927184</v>
      </c>
    </row>
    <row r="454">
      <c r="A454" s="14">
        <v>2015.0</v>
      </c>
      <c r="B454" s="15" t="s">
        <v>74</v>
      </c>
      <c r="C454" s="14">
        <v>210.0</v>
      </c>
      <c r="D454" s="14">
        <v>9.29886103E8</v>
      </c>
      <c r="E454" s="18">
        <v>4.3394684802E11</v>
      </c>
      <c r="F454" s="14">
        <v>0.45</v>
      </c>
      <c r="G454" s="14">
        <v>1.0</v>
      </c>
      <c r="H454" s="18">
        <v>1.95276081609E11</v>
      </c>
      <c r="I454" s="14">
        <v>2.36</v>
      </c>
      <c r="J454" s="14">
        <v>25.17</v>
      </c>
      <c r="K454" s="20">
        <f>'Индекс с Дивидендами'!$J454/'Индекс с Дивидендами'!$C454</f>
        <v>0.1198571429</v>
      </c>
    </row>
    <row r="455">
      <c r="A455" s="14">
        <v>2015.0</v>
      </c>
      <c r="B455" s="15" t="s">
        <v>49</v>
      </c>
      <c r="C455" s="14">
        <v>673.0</v>
      </c>
      <c r="D455" s="14">
        <v>3.3999971E7</v>
      </c>
      <c r="E455" s="18">
        <v>6.9339334695E10</v>
      </c>
      <c r="F455" s="14">
        <v>0.33</v>
      </c>
      <c r="G455" s="14">
        <v>1.0</v>
      </c>
      <c r="H455" s="18">
        <v>2.288198044935E10</v>
      </c>
      <c r="I455" s="14">
        <v>0.28</v>
      </c>
      <c r="J455" s="14">
        <v>78.0</v>
      </c>
      <c r="K455" s="20">
        <f>'Индекс с Дивидендами'!$J455/'Индекс с Дивидендами'!$C455</f>
        <v>0.1158989599</v>
      </c>
    </row>
    <row r="456">
      <c r="A456" s="14">
        <v>2015.0</v>
      </c>
      <c r="B456" s="15" t="s">
        <v>65</v>
      </c>
      <c r="C456" s="14">
        <v>268.5</v>
      </c>
      <c r="D456" s="14">
        <v>7.5502655E7</v>
      </c>
      <c r="E456" s="18">
        <v>4.82677689495E10</v>
      </c>
      <c r="F456" s="14">
        <v>0.42</v>
      </c>
      <c r="G456" s="14">
        <v>1.0</v>
      </c>
      <c r="H456" s="18">
        <v>2.027246295879E10</v>
      </c>
      <c r="I456" s="14">
        <v>0.25</v>
      </c>
      <c r="J456" s="14">
        <v>27.0</v>
      </c>
      <c r="K456" s="20">
        <f>'Индекс с Дивидендами'!$J456/'Индекс с Дивидендами'!$C456</f>
        <v>0.1005586592</v>
      </c>
    </row>
    <row r="457">
      <c r="A457" s="14">
        <v>2015.0</v>
      </c>
      <c r="B457" s="15" t="s">
        <v>162</v>
      </c>
      <c r="C457" s="14">
        <v>850.0</v>
      </c>
      <c r="D457" s="14">
        <v>9.3E7</v>
      </c>
      <c r="E457" s="18">
        <v>5.27E11</v>
      </c>
      <c r="F457" s="14">
        <v>0.15</v>
      </c>
      <c r="G457" s="14">
        <v>1.0</v>
      </c>
      <c r="H457" s="18">
        <v>7.905E10</v>
      </c>
      <c r="I457" s="14">
        <v>0.96</v>
      </c>
      <c r="J457" s="14">
        <v>80.64</v>
      </c>
      <c r="K457" s="20">
        <f>'Индекс с Дивидендами'!$J457/'Индекс с Дивидендами'!$C457</f>
        <v>0.09487058824</v>
      </c>
    </row>
    <row r="458" hidden="1">
      <c r="A458" s="14">
        <v>2015.0</v>
      </c>
      <c r="B458" s="15" t="s">
        <v>188</v>
      </c>
      <c r="C458" s="14">
        <v>303.0</v>
      </c>
      <c r="D458" s="14">
        <v>5.7385E7</v>
      </c>
      <c r="E458" s="18">
        <v>3.779925E10</v>
      </c>
      <c r="F458" s="14">
        <v>0.46</v>
      </c>
      <c r="G458" s="14">
        <v>1.0</v>
      </c>
      <c r="H458" s="18">
        <v>1.7387655E10</v>
      </c>
      <c r="I458" s="14">
        <v>0.21</v>
      </c>
      <c r="J458" s="14"/>
      <c r="K458" s="14">
        <f>'Индекс с Дивидендами'!$J458/'Индекс с Дивидендами'!$C458</f>
        <v>0</v>
      </c>
    </row>
    <row r="459" hidden="1">
      <c r="A459" s="14">
        <v>2015.0</v>
      </c>
      <c r="B459" s="15" t="s">
        <v>189</v>
      </c>
      <c r="C459" s="14">
        <v>3.179</v>
      </c>
      <c r="D459" s="14">
        <v>1.1348767106E10</v>
      </c>
      <c r="E459" s="18">
        <v>2.0043183683495E11</v>
      </c>
      <c r="F459" s="14">
        <v>0.18</v>
      </c>
      <c r="G459" s="14">
        <v>1.0</v>
      </c>
      <c r="H459" s="18">
        <v>3.607773063029E10</v>
      </c>
      <c r="I459" s="14">
        <v>0.44</v>
      </c>
      <c r="J459" s="14"/>
      <c r="K459" s="14">
        <f>'Индекс с Дивидендами'!$J459/'Индекс с Дивидендами'!$C459</f>
        <v>0</v>
      </c>
    </row>
    <row r="460">
      <c r="A460" s="14">
        <v>2015.0</v>
      </c>
      <c r="B460" s="15" t="s">
        <v>96</v>
      </c>
      <c r="C460" s="14">
        <v>609.5</v>
      </c>
      <c r="D460" s="14">
        <v>1.75920919E8</v>
      </c>
      <c r="E460" s="18">
        <v>5.1058952327E11</v>
      </c>
      <c r="F460" s="14">
        <v>0.21</v>
      </c>
      <c r="G460" s="14">
        <v>1.0</v>
      </c>
      <c r="H460" s="18">
        <v>1.072237998867E11</v>
      </c>
      <c r="I460" s="14">
        <v>1.3</v>
      </c>
      <c r="J460" s="14">
        <v>53.26</v>
      </c>
      <c r="K460" s="20">
        <f>'Индекс с Дивидендами'!$J460/'Индекс с Дивидендами'!$C460</f>
        <v>0.0873831009</v>
      </c>
    </row>
    <row r="461">
      <c r="A461" s="14">
        <v>2015.0</v>
      </c>
      <c r="B461" s="15" t="s">
        <v>161</v>
      </c>
      <c r="C461" s="14">
        <v>1040.0</v>
      </c>
      <c r="D461" s="14">
        <v>1.5826958E7</v>
      </c>
      <c r="E461" s="18">
        <v>4.572232392E10</v>
      </c>
      <c r="F461" s="14">
        <v>0.36</v>
      </c>
      <c r="G461" s="14">
        <v>1.0</v>
      </c>
      <c r="H461" s="18">
        <v>1.64600366112E10</v>
      </c>
      <c r="I461" s="14">
        <v>0.2</v>
      </c>
      <c r="J461" s="14">
        <v>77.35</v>
      </c>
      <c r="K461" s="20">
        <f>'Индекс с Дивидендами'!$J461/'Индекс с Дивидендами'!$C461</f>
        <v>0.074375</v>
      </c>
    </row>
    <row r="462">
      <c r="A462" s="14">
        <v>2015.0</v>
      </c>
      <c r="B462" s="15" t="s">
        <v>78</v>
      </c>
      <c r="C462" s="14">
        <v>2345.9</v>
      </c>
      <c r="D462" s="14">
        <v>3.91259097E8</v>
      </c>
      <c r="E462" s="18">
        <v>1.9953363399045E12</v>
      </c>
      <c r="F462" s="14">
        <v>0.46</v>
      </c>
      <c r="G462" s="14">
        <v>1.0</v>
      </c>
      <c r="H462" s="18">
        <v>9.1785471635607E11</v>
      </c>
      <c r="I462" s="14">
        <v>11.11</v>
      </c>
      <c r="J462" s="14">
        <v>159.0</v>
      </c>
      <c r="K462" s="20">
        <f>'Индекс с Дивидендами'!$J462/'Индекс с Дивидендами'!$C462</f>
        <v>0.06777782514</v>
      </c>
    </row>
    <row r="463">
      <c r="A463" s="14">
        <v>2015.0</v>
      </c>
      <c r="B463" s="15" t="s">
        <v>82</v>
      </c>
      <c r="C463" s="14">
        <v>62.6</v>
      </c>
      <c r="D463" s="14">
        <v>8.39051814E8</v>
      </c>
      <c r="E463" s="18">
        <v>3.75176025224E11</v>
      </c>
      <c r="F463" s="14">
        <v>0.14</v>
      </c>
      <c r="G463" s="14">
        <v>1.0</v>
      </c>
      <c r="H463" s="18">
        <v>5.252464353136E10</v>
      </c>
      <c r="I463" s="14">
        <v>0.64</v>
      </c>
      <c r="J463" s="14">
        <v>4.13</v>
      </c>
      <c r="K463" s="20">
        <f>'Индекс с Дивидендами'!$J463/'Индекс с Дивидендами'!$C463</f>
        <v>0.06597444089</v>
      </c>
    </row>
    <row r="464">
      <c r="A464" s="14">
        <v>2015.0</v>
      </c>
      <c r="B464" s="15" t="s">
        <v>150</v>
      </c>
      <c r="C464" s="14">
        <v>1715.0</v>
      </c>
      <c r="D464" s="14">
        <v>1.8766448E7</v>
      </c>
      <c r="E464" s="18">
        <v>5.108644058E10</v>
      </c>
      <c r="F464" s="14">
        <v>0.63</v>
      </c>
      <c r="G464" s="14">
        <v>1.0</v>
      </c>
      <c r="H464" s="18">
        <v>3.21844575654E10</v>
      </c>
      <c r="I464" s="14">
        <v>0.39</v>
      </c>
      <c r="J464" s="14">
        <v>113.0</v>
      </c>
      <c r="K464" s="20">
        <f>'Индекс с Дивидендами'!$J464/'Индекс с Дивидендами'!$C464</f>
        <v>0.06588921283</v>
      </c>
    </row>
    <row r="465">
      <c r="A465" s="14">
        <v>2015.0</v>
      </c>
      <c r="B465" s="15" t="s">
        <v>91</v>
      </c>
      <c r="C465" s="14">
        <v>69.05</v>
      </c>
      <c r="D465" s="14">
        <v>1.44599951E8</v>
      </c>
      <c r="E465" s="18">
        <v>1.447047340035E10</v>
      </c>
      <c r="F465" s="14">
        <v>0.69</v>
      </c>
      <c r="G465" s="14">
        <v>1.0</v>
      </c>
      <c r="H465" s="18">
        <v>9.98462664624E9</v>
      </c>
      <c r="I465" s="14">
        <v>0.12</v>
      </c>
      <c r="J465" s="14">
        <v>4.05</v>
      </c>
      <c r="K465" s="20">
        <f>'Индекс с Дивидендами'!$J465/'Индекс с Дивидендами'!$C465</f>
        <v>0.05865314989</v>
      </c>
    </row>
    <row r="466">
      <c r="A466" s="14">
        <v>2015.0</v>
      </c>
      <c r="B466" s="15" t="s">
        <v>149</v>
      </c>
      <c r="C466" s="14">
        <v>1988.0</v>
      </c>
      <c r="D466" s="14">
        <v>1.7741579E7</v>
      </c>
      <c r="E466" s="18">
        <v>2.93918820132E11</v>
      </c>
      <c r="F466" s="14">
        <v>0.12</v>
      </c>
      <c r="G466" s="14">
        <v>1.0</v>
      </c>
      <c r="H466" s="18">
        <v>3.527025841584E10</v>
      </c>
      <c r="I466" s="14">
        <v>0.43</v>
      </c>
      <c r="J466" s="14">
        <v>113.0</v>
      </c>
      <c r="K466" s="20">
        <f>'Индекс с Дивидендами'!$J466/'Индекс с Дивидендами'!$C466</f>
        <v>0.05684104628</v>
      </c>
    </row>
    <row r="467" hidden="1">
      <c r="A467" s="14">
        <v>2015.0</v>
      </c>
      <c r="B467" s="15" t="s">
        <v>186</v>
      </c>
      <c r="C467" s="14">
        <v>498.0</v>
      </c>
      <c r="D467" s="14">
        <v>4.8659373E7</v>
      </c>
      <c r="E467" s="18">
        <v>2.4232367754E11</v>
      </c>
      <c r="F467" s="14">
        <v>0.1</v>
      </c>
      <c r="G467" s="14">
        <v>1.0</v>
      </c>
      <c r="H467" s="18">
        <v>2.4232367754E10</v>
      </c>
      <c r="I467" s="14">
        <v>0.29</v>
      </c>
      <c r="J467" s="14"/>
      <c r="K467" s="14">
        <f>'Индекс с Дивидендами'!$J467/'Индекс с Дивидендами'!$C467</f>
        <v>0</v>
      </c>
    </row>
    <row r="468">
      <c r="A468" s="14">
        <v>2015.0</v>
      </c>
      <c r="B468" s="15" t="s">
        <v>157</v>
      </c>
      <c r="C468" s="14">
        <v>622.0</v>
      </c>
      <c r="D468" s="14">
        <v>1.05891321E8</v>
      </c>
      <c r="E468" s="18">
        <v>2.6345760727E11</v>
      </c>
      <c r="F468" s="14">
        <v>0.25</v>
      </c>
      <c r="G468" s="14">
        <v>1.0</v>
      </c>
      <c r="H468" s="18">
        <v>6.58644018175E10</v>
      </c>
      <c r="I468" s="14">
        <v>0.8</v>
      </c>
      <c r="J468" s="14">
        <v>33.34</v>
      </c>
      <c r="K468" s="20">
        <f>'Индекс с Дивидендами'!$J468/'Индекс с Дивидендами'!$C468</f>
        <v>0.05360128617</v>
      </c>
    </row>
    <row r="469">
      <c r="A469" s="14">
        <v>2015.0</v>
      </c>
      <c r="B469" s="15" t="s">
        <v>137</v>
      </c>
      <c r="C469" s="14">
        <v>199.1</v>
      </c>
      <c r="D469" s="14">
        <v>1.475085E8</v>
      </c>
      <c r="E469" s="18">
        <v>2.936894235E10</v>
      </c>
      <c r="F469" s="14">
        <v>1.0</v>
      </c>
      <c r="G469" s="14">
        <v>1.0</v>
      </c>
      <c r="H469" s="18">
        <v>2.936894235E10</v>
      </c>
      <c r="I469" s="14">
        <v>0.36</v>
      </c>
      <c r="J469" s="14">
        <v>10.58</v>
      </c>
      <c r="K469" s="20">
        <f>'Индекс с Дивидендами'!$J469/'Индекс с Дивидендами'!$C469</f>
        <v>0.05313912607</v>
      </c>
    </row>
    <row r="470">
      <c r="A470" s="14">
        <v>2015.0</v>
      </c>
      <c r="B470" s="15" t="s">
        <v>43</v>
      </c>
      <c r="C470" s="14">
        <v>136.09</v>
      </c>
      <c r="D470" s="14">
        <v>9.028459989E9</v>
      </c>
      <c r="E470" s="18">
        <v>3.221728370561E12</v>
      </c>
      <c r="F470" s="14">
        <v>0.46</v>
      </c>
      <c r="G470" s="14">
        <v>0.8290737</v>
      </c>
      <c r="H470" s="18">
        <v>1.22868311986495E12</v>
      </c>
      <c r="I470" s="14">
        <v>14.87</v>
      </c>
      <c r="J470" s="14">
        <v>7.2</v>
      </c>
      <c r="K470" s="20">
        <f>'Индекс с Дивидендами'!$J470/'Индекс с Дивидендами'!$C470</f>
        <v>0.05290616504</v>
      </c>
    </row>
    <row r="471">
      <c r="A471" s="14">
        <v>2015.0</v>
      </c>
      <c r="B471" s="15" t="s">
        <v>112</v>
      </c>
      <c r="C471" s="14">
        <v>2821.0</v>
      </c>
      <c r="D471" s="14">
        <v>2.4605E7</v>
      </c>
      <c r="E471" s="18">
        <v>3.653195E11</v>
      </c>
      <c r="F471" s="14">
        <v>0.19</v>
      </c>
      <c r="G471" s="14">
        <v>1.0</v>
      </c>
      <c r="H471" s="18">
        <v>6.9410705E10</v>
      </c>
      <c r="I471" s="14">
        <v>0.84</v>
      </c>
      <c r="J471" s="14">
        <v>140.0</v>
      </c>
      <c r="K471" s="20">
        <f>'Индекс с Дивидендами'!$J471/'Индекс с Дивидендами'!$C471</f>
        <v>0.04962779156</v>
      </c>
    </row>
    <row r="472">
      <c r="A472" s="14">
        <v>2015.0</v>
      </c>
      <c r="B472" s="15" t="s">
        <v>159</v>
      </c>
      <c r="C472" s="14">
        <v>60.55</v>
      </c>
      <c r="D472" s="14">
        <v>2.48396524E8</v>
      </c>
      <c r="E472" s="18">
        <v>6.01616379917E10</v>
      </c>
      <c r="F472" s="14">
        <v>0.25</v>
      </c>
      <c r="G472" s="14">
        <v>1.0</v>
      </c>
      <c r="H472" s="18">
        <v>1.504040949792E10</v>
      </c>
      <c r="I472" s="14">
        <v>0.18</v>
      </c>
      <c r="J472" s="14">
        <v>2.84</v>
      </c>
      <c r="K472" s="20">
        <f>'Индекс с Дивидендами'!$J472/'Индекс с Дивидендами'!$C472</f>
        <v>0.04690338563</v>
      </c>
    </row>
    <row r="473" hidden="1">
      <c r="A473" s="14">
        <v>2015.0</v>
      </c>
      <c r="B473" s="15" t="s">
        <v>71</v>
      </c>
      <c r="C473" s="14">
        <v>64.9</v>
      </c>
      <c r="D473" s="14">
        <v>1.45694761E8</v>
      </c>
      <c r="E473" s="18">
        <v>2.70159713505E10</v>
      </c>
      <c r="F473" s="14">
        <v>0.35</v>
      </c>
      <c r="G473" s="14">
        <v>1.0</v>
      </c>
      <c r="H473" s="18">
        <v>9.45558997268E9</v>
      </c>
      <c r="I473" s="14">
        <v>0.11</v>
      </c>
      <c r="J473" s="14"/>
      <c r="K473" s="14">
        <f>'Индекс с Дивидендами'!$J473/'Индекс с Дивидендами'!$C473</f>
        <v>0</v>
      </c>
    </row>
    <row r="474">
      <c r="A474" s="14">
        <v>2015.0</v>
      </c>
      <c r="B474" s="15" t="s">
        <v>21</v>
      </c>
      <c r="C474" s="14">
        <v>22.5</v>
      </c>
      <c r="D474" s="14">
        <v>1.519301486E9</v>
      </c>
      <c r="E474" s="18">
        <v>3.41842834395E11</v>
      </c>
      <c r="F474" s="14">
        <v>0.1</v>
      </c>
      <c r="G474" s="14">
        <v>1.0</v>
      </c>
      <c r="H474" s="18">
        <v>3.41842834395E10</v>
      </c>
      <c r="I474" s="14">
        <v>0.41</v>
      </c>
      <c r="J474" s="14">
        <v>1.0</v>
      </c>
      <c r="K474" s="20">
        <f>'Индекс с Дивидендами'!$J474/'Индекс с Дивидендами'!$C474</f>
        <v>0.04444444444</v>
      </c>
    </row>
    <row r="475">
      <c r="A475" s="14">
        <v>2015.0</v>
      </c>
      <c r="B475" s="15" t="s">
        <v>76</v>
      </c>
      <c r="C475" s="14">
        <v>91.4</v>
      </c>
      <c r="D475" s="14">
        <v>1.162104611E9</v>
      </c>
      <c r="E475" s="18">
        <v>2.082673754602E11</v>
      </c>
      <c r="F475" s="14">
        <v>0.51</v>
      </c>
      <c r="G475" s="14">
        <v>1.0</v>
      </c>
      <c r="H475" s="18">
        <v>1.062163614847E11</v>
      </c>
      <c r="I475" s="14">
        <v>1.29</v>
      </c>
      <c r="J475" s="14">
        <v>3.87</v>
      </c>
      <c r="K475" s="20">
        <f>'Индекс с Дивидендами'!$J475/'Индекс с Дивидендами'!$C475</f>
        <v>0.04234135667</v>
      </c>
    </row>
    <row r="476" hidden="1">
      <c r="A476" s="14">
        <v>2015.0</v>
      </c>
      <c r="B476" s="15" t="s">
        <v>190</v>
      </c>
      <c r="C476" s="14">
        <v>44.6</v>
      </c>
      <c r="D476" s="14">
        <v>3.0613864E8</v>
      </c>
      <c r="E476" s="18">
        <v>7.18620176E10</v>
      </c>
      <c r="F476" s="14">
        <v>0.19</v>
      </c>
      <c r="G476" s="14">
        <v>1.0</v>
      </c>
      <c r="H476" s="18">
        <v>1.3653783344E10</v>
      </c>
      <c r="I476" s="14">
        <v>0.17</v>
      </c>
      <c r="J476" s="14"/>
      <c r="K476" s="14">
        <f>'Индекс с Дивидендами'!$J476/'Индекс с Дивидендами'!$C476</f>
        <v>0</v>
      </c>
    </row>
    <row r="477">
      <c r="A477" s="14">
        <v>2015.0</v>
      </c>
      <c r="B477" s="15" t="s">
        <v>90</v>
      </c>
      <c r="C477" s="14">
        <v>90.55</v>
      </c>
      <c r="D477" s="14">
        <v>8.23972785E8</v>
      </c>
      <c r="E477" s="18">
        <v>2.331585490847E11</v>
      </c>
      <c r="F477" s="14">
        <v>0.32</v>
      </c>
      <c r="G477" s="14">
        <v>1.0</v>
      </c>
      <c r="H477" s="18">
        <v>7.46107357071E10</v>
      </c>
      <c r="I477" s="14">
        <v>0.9</v>
      </c>
      <c r="J477" s="14">
        <v>3.34</v>
      </c>
      <c r="K477" s="20">
        <f>'Индекс с Дивидендами'!$J477/'Индекс с Дивидендами'!$C477</f>
        <v>0.03688569851</v>
      </c>
    </row>
    <row r="478">
      <c r="A478" s="14">
        <v>2015.0</v>
      </c>
      <c r="B478" s="15" t="s">
        <v>148</v>
      </c>
      <c r="C478" s="14">
        <v>3779.0</v>
      </c>
      <c r="D478" s="14">
        <v>6485440.0</v>
      </c>
      <c r="E478" s="18">
        <v>1.53177986E11</v>
      </c>
      <c r="F478" s="14">
        <v>0.16</v>
      </c>
      <c r="G478" s="14">
        <v>1.0</v>
      </c>
      <c r="H478" s="18">
        <v>2.450847776E10</v>
      </c>
      <c r="I478" s="14">
        <v>0.3</v>
      </c>
      <c r="J478" s="14">
        <v>139.0</v>
      </c>
      <c r="K478" s="20">
        <f>'Индекс с Дивидендами'!$J478/'Индекс с Дивидендами'!$C478</f>
        <v>0.03678221752</v>
      </c>
    </row>
    <row r="479">
      <c r="A479" s="14">
        <v>2015.0</v>
      </c>
      <c r="B479" s="15" t="s">
        <v>136</v>
      </c>
      <c r="C479" s="14">
        <v>317.6</v>
      </c>
      <c r="D479" s="14">
        <v>6.97181024E8</v>
      </c>
      <c r="E479" s="18">
        <v>6.9195216632E11</v>
      </c>
      <c r="F479" s="14">
        <v>0.32</v>
      </c>
      <c r="G479" s="14">
        <v>1.0</v>
      </c>
      <c r="H479" s="18">
        <v>2.214246932224E11</v>
      </c>
      <c r="I479" s="14">
        <v>2.68</v>
      </c>
      <c r="J479" s="14">
        <v>10.58</v>
      </c>
      <c r="K479" s="20">
        <f>'Индекс с Дивидендами'!$J479/'Индекс с Дивидендами'!$C479</f>
        <v>0.03331234257</v>
      </c>
    </row>
    <row r="480" hidden="1">
      <c r="A480" s="14">
        <v>2015.0</v>
      </c>
      <c r="B480" s="15" t="s">
        <v>191</v>
      </c>
      <c r="C480" s="14">
        <v>1080.0</v>
      </c>
      <c r="D480" s="14">
        <v>1.2849485E7</v>
      </c>
      <c r="E480" s="18">
        <v>4.081601124E10</v>
      </c>
      <c r="F480" s="14">
        <v>0.34</v>
      </c>
      <c r="G480" s="14">
        <v>1.0</v>
      </c>
      <c r="H480" s="18">
        <v>1.38774438216E10</v>
      </c>
      <c r="I480" s="14">
        <v>0.17</v>
      </c>
      <c r="J480" s="14"/>
      <c r="K480" s="14">
        <f>'Индекс с Дивидендами'!$J480/'Индекс с Дивидендами'!$C480</f>
        <v>0</v>
      </c>
    </row>
    <row r="481" hidden="1">
      <c r="A481" s="14">
        <v>2015.0</v>
      </c>
      <c r="B481" s="15" t="s">
        <v>86</v>
      </c>
      <c r="C481" s="14">
        <v>219.0</v>
      </c>
      <c r="D481" s="14">
        <v>2.1135915E8</v>
      </c>
      <c r="E481" s="18">
        <v>1.44648918336E11</v>
      </c>
      <c r="F481" s="14">
        <v>0.32</v>
      </c>
      <c r="G481" s="14">
        <v>1.0</v>
      </c>
      <c r="H481" s="18">
        <v>4.628765386752E10</v>
      </c>
      <c r="I481" s="14">
        <v>0.56</v>
      </c>
      <c r="J481" s="14"/>
      <c r="K481" s="14">
        <f>'Индекс с Дивидендами'!$J481/'Индекс с Дивидендами'!$C481</f>
        <v>0</v>
      </c>
    </row>
    <row r="482">
      <c r="A482" s="14">
        <v>2015.0</v>
      </c>
      <c r="B482" s="15" t="s">
        <v>132</v>
      </c>
      <c r="C482" s="14">
        <v>253.25</v>
      </c>
      <c r="D482" s="14">
        <v>1.271781338E9</v>
      </c>
      <c r="E482" s="18">
        <v>2.68398853215525E12</v>
      </c>
      <c r="F482" s="14">
        <v>0.12</v>
      </c>
      <c r="G482" s="14">
        <v>1.0</v>
      </c>
      <c r="H482" s="18">
        <v>3.2207862385863E11</v>
      </c>
      <c r="I482" s="14">
        <v>3.9</v>
      </c>
      <c r="J482" s="14">
        <v>8.21</v>
      </c>
      <c r="K482" s="20">
        <f>'Индекс с Дивидендами'!$J482/'Индекс с Дивидендами'!$C482</f>
        <v>0.03241855874</v>
      </c>
    </row>
    <row r="483">
      <c r="A483" s="14">
        <v>2015.0</v>
      </c>
      <c r="B483" s="15" t="s">
        <v>69</v>
      </c>
      <c r="C483" s="14">
        <v>18.875</v>
      </c>
      <c r="D483" s="14">
        <v>1.5644062E9</v>
      </c>
      <c r="E483" s="18">
        <v>2.1091547875E11</v>
      </c>
      <c r="F483" s="14">
        <v>0.14</v>
      </c>
      <c r="G483" s="14">
        <v>1.0</v>
      </c>
      <c r="H483" s="18">
        <v>2.9528167025E10</v>
      </c>
      <c r="I483" s="14">
        <v>0.36</v>
      </c>
      <c r="J483" s="14">
        <v>0.58</v>
      </c>
      <c r="K483" s="20">
        <f>'Индекс с Дивидендами'!$J483/'Индекс с Дивидендами'!$C483</f>
        <v>0.03072847682</v>
      </c>
    </row>
    <row r="484" hidden="1">
      <c r="A484" s="14">
        <v>2015.0</v>
      </c>
      <c r="B484" s="15" t="s">
        <v>185</v>
      </c>
      <c r="C484" s="14">
        <v>0.458</v>
      </c>
      <c r="D484" s="14">
        <v>2.2551039463E10</v>
      </c>
      <c r="E484" s="18">
        <v>7.377411481598E10</v>
      </c>
      <c r="F484" s="14">
        <v>0.14</v>
      </c>
      <c r="G484" s="14">
        <v>1.0</v>
      </c>
      <c r="H484" s="18">
        <v>1.032837607424E10</v>
      </c>
      <c r="I484" s="14">
        <v>0.13</v>
      </c>
      <c r="J484" s="14"/>
      <c r="K484" s="14">
        <f>'Индекс с Дивидендами'!$J484/'Индекс с Дивидендами'!$C484</f>
        <v>0</v>
      </c>
    </row>
    <row r="485">
      <c r="A485" s="14">
        <v>2015.0</v>
      </c>
      <c r="B485" s="15" t="s">
        <v>37</v>
      </c>
      <c r="C485" s="14">
        <v>17.65</v>
      </c>
      <c r="D485" s="14">
        <v>3.474E9</v>
      </c>
      <c r="E485" s="18">
        <v>1.703225E11</v>
      </c>
      <c r="F485" s="14">
        <v>0.36</v>
      </c>
      <c r="G485" s="14">
        <v>1.0</v>
      </c>
      <c r="H485" s="18">
        <v>6.13161E10</v>
      </c>
      <c r="I485" s="14">
        <v>0.74</v>
      </c>
      <c r="J485" s="14">
        <v>0.47</v>
      </c>
      <c r="K485" s="20">
        <f>'Индекс с Дивидендами'!$J485/'Индекс с Дивидендами'!$C485</f>
        <v>0.02662889518</v>
      </c>
    </row>
    <row r="486">
      <c r="A486" s="14">
        <v>2015.0</v>
      </c>
      <c r="B486" s="15" t="s">
        <v>7</v>
      </c>
      <c r="C486" s="14">
        <v>55.94</v>
      </c>
      <c r="D486" s="14">
        <v>1.693942095E9</v>
      </c>
      <c r="E486" s="18">
        <v>4.119961773422E11</v>
      </c>
      <c r="F486" s="14">
        <v>0.23</v>
      </c>
      <c r="G486" s="14">
        <v>1.0</v>
      </c>
      <c r="H486" s="18">
        <v>9.475912078871E10</v>
      </c>
      <c r="I486" s="14">
        <v>1.15</v>
      </c>
      <c r="J486" s="14">
        <v>1.47</v>
      </c>
      <c r="K486" s="20">
        <f>'Индекс с Дивидендами'!$J486/'Индекс с Дивидендами'!$C486</f>
        <v>0.02627815517</v>
      </c>
    </row>
    <row r="487">
      <c r="A487" s="14">
        <v>2015.0</v>
      </c>
      <c r="B487" s="15" t="s">
        <v>106</v>
      </c>
      <c r="C487" s="14">
        <v>0.679</v>
      </c>
      <c r="D487" s="14">
        <v>1.31326858063E11</v>
      </c>
      <c r="E487" s="18">
        <v>2.6226746066031E11</v>
      </c>
      <c r="F487" s="14">
        <v>0.34</v>
      </c>
      <c r="G487" s="14">
        <v>1.0</v>
      </c>
      <c r="H487" s="18">
        <v>8.917093662451E10</v>
      </c>
      <c r="I487" s="14">
        <v>1.08</v>
      </c>
      <c r="J487" s="14">
        <v>0.01561855</v>
      </c>
      <c r="K487" s="20">
        <f>'Индекс с Дивидендами'!$J487/'Индекс с Дивидендами'!$C487</f>
        <v>0.02300228277</v>
      </c>
    </row>
    <row r="488">
      <c r="A488" s="14">
        <v>2015.0</v>
      </c>
      <c r="B488" s="15" t="s">
        <v>130</v>
      </c>
      <c r="C488" s="14">
        <v>591.0</v>
      </c>
      <c r="D488" s="14">
        <v>8.1980262E8</v>
      </c>
      <c r="E488" s="18">
        <v>1.794456846E12</v>
      </c>
      <c r="F488" s="14">
        <v>0.27</v>
      </c>
      <c r="G488" s="14">
        <v>1.0</v>
      </c>
      <c r="H488" s="18">
        <v>4.8450334842E11</v>
      </c>
      <c r="I488" s="14">
        <v>5.87</v>
      </c>
      <c r="J488" s="14">
        <v>11.8</v>
      </c>
      <c r="K488" s="20">
        <f>'Индекс с Дивидендами'!$J488/'Индекс с Дивидендами'!$C488</f>
        <v>0.01996615905</v>
      </c>
    </row>
    <row r="489">
      <c r="A489" s="14">
        <v>2015.0</v>
      </c>
      <c r="B489" s="15" t="s">
        <v>147</v>
      </c>
      <c r="C489" s="14">
        <v>11228.0</v>
      </c>
      <c r="D489" s="14">
        <v>5.1063132E7</v>
      </c>
      <c r="E489" s="18">
        <v>1.06173489394E12</v>
      </c>
      <c r="F489" s="14">
        <v>0.54</v>
      </c>
      <c r="G489" s="14">
        <v>1.0</v>
      </c>
      <c r="H489" s="18">
        <v>5.733368427276E11</v>
      </c>
      <c r="I489" s="14">
        <v>6.94</v>
      </c>
      <c r="J489" s="14">
        <v>220.97</v>
      </c>
      <c r="K489" s="20">
        <f>'Индекс с Дивидендами'!$J489/'Индекс с Дивидендами'!$C489</f>
        <v>0.01968026363</v>
      </c>
    </row>
    <row r="490">
      <c r="A490" s="14">
        <v>2015.0</v>
      </c>
      <c r="B490" s="15" t="s">
        <v>141</v>
      </c>
      <c r="C490" s="14">
        <v>33.975</v>
      </c>
      <c r="D490" s="14">
        <v>8.931498676E9</v>
      </c>
      <c r="E490" s="18">
        <v>1.21379067010238E12</v>
      </c>
      <c r="F490" s="14">
        <v>0.25</v>
      </c>
      <c r="G490" s="14">
        <v>1.0</v>
      </c>
      <c r="H490" s="18">
        <v>3.0344766752559E11</v>
      </c>
      <c r="I490" s="14">
        <v>3.67</v>
      </c>
      <c r="J490" s="14">
        <v>0.65</v>
      </c>
      <c r="K490" s="20">
        <f>'Индекс с Дивидендами'!$J490/'Индекс с Дивидендами'!$C490</f>
        <v>0.0191317145</v>
      </c>
    </row>
    <row r="491">
      <c r="A491" s="14">
        <v>2015.0</v>
      </c>
      <c r="B491" s="15" t="s">
        <v>160</v>
      </c>
      <c r="C491" s="14">
        <v>177.0</v>
      </c>
      <c r="D491" s="14">
        <v>4.11042225E8</v>
      </c>
      <c r="E491" s="18">
        <v>5.19674812707E11</v>
      </c>
      <c r="F491" s="14">
        <v>0.14</v>
      </c>
      <c r="G491" s="14">
        <v>1.0</v>
      </c>
      <c r="H491" s="18">
        <v>7.275447377898E10</v>
      </c>
      <c r="I491" s="14">
        <v>0.88</v>
      </c>
      <c r="J491" s="14">
        <v>2.96</v>
      </c>
      <c r="K491" s="20">
        <f>'Индекс с Дивидендами'!$J491/'Индекс с Дивидендами'!$C491</f>
        <v>0.01672316384</v>
      </c>
    </row>
    <row r="492">
      <c r="A492" s="14">
        <v>2015.0</v>
      </c>
      <c r="B492" s="15" t="s">
        <v>163</v>
      </c>
      <c r="C492" s="14">
        <v>995.0</v>
      </c>
      <c r="D492" s="14">
        <v>2.04E7</v>
      </c>
      <c r="E492" s="18">
        <v>1.194E11</v>
      </c>
      <c r="F492" s="14">
        <v>0.17</v>
      </c>
      <c r="G492" s="14">
        <v>1.0</v>
      </c>
      <c r="H492" s="18">
        <v>2.0298E10</v>
      </c>
      <c r="I492" s="14">
        <v>0.25</v>
      </c>
      <c r="J492" s="14">
        <v>15.29</v>
      </c>
      <c r="K492" s="20">
        <f>'Индекс с Дивидендами'!$J492/'Индекс с Дивидендами'!$C492</f>
        <v>0.01536683417</v>
      </c>
    </row>
    <row r="493">
      <c r="A493" s="14">
        <v>2015.0</v>
      </c>
      <c r="B493" s="15" t="s">
        <v>9</v>
      </c>
      <c r="C493" s="14">
        <f>0.0797*5000</f>
        <v>398.5</v>
      </c>
      <c r="D493" s="19">
        <v>1.2960541121562E13</v>
      </c>
      <c r="E493" s="18">
        <v>1.03295514458584E12</v>
      </c>
      <c r="F493" s="14">
        <v>0.39</v>
      </c>
      <c r="G493" s="14">
        <v>1.0</v>
      </c>
      <c r="H493" s="18">
        <v>4.0285250638848E11</v>
      </c>
      <c r="I493" s="14">
        <v>4.88</v>
      </c>
      <c r="J493" s="14">
        <f>0.00117*5000</f>
        <v>5.85</v>
      </c>
      <c r="K493" s="20">
        <f>'Индекс с Дивидендами'!$J493/'Индекс с Дивидендами'!$C493</f>
        <v>0.01468005019</v>
      </c>
    </row>
    <row r="494">
      <c r="A494" s="14">
        <v>2015.0</v>
      </c>
      <c r="B494" s="15" t="s">
        <v>108</v>
      </c>
      <c r="C494" s="14">
        <v>0.0594</v>
      </c>
      <c r="D494" s="14">
        <v>2.67679717843E11</v>
      </c>
      <c r="E494" s="18">
        <v>7.571512018994E10</v>
      </c>
      <c r="F494" s="14">
        <v>0.21</v>
      </c>
      <c r="G494" s="14">
        <v>1.0</v>
      </c>
      <c r="H494" s="18">
        <v>1.590017523989E10</v>
      </c>
      <c r="I494" s="14">
        <v>0.19</v>
      </c>
      <c r="J494" s="14">
        <v>6.64788E-4</v>
      </c>
      <c r="K494" s="20">
        <f>'Индекс с Дивидендами'!$J494/'Индекс с Дивидендами'!$C494</f>
        <v>0.01119171717</v>
      </c>
    </row>
    <row r="495">
      <c r="A495" s="14">
        <v>2015.0</v>
      </c>
      <c r="B495" s="15" t="s">
        <v>94</v>
      </c>
      <c r="C495" s="14">
        <v>76.5</v>
      </c>
      <c r="D495" s="14">
        <v>1.0E9</v>
      </c>
      <c r="E495" s="18">
        <v>7.65E10</v>
      </c>
      <c r="F495" s="14">
        <v>1.0</v>
      </c>
      <c r="G495" s="14">
        <v>1.0</v>
      </c>
      <c r="H495" s="18">
        <v>7.65E10</v>
      </c>
      <c r="I495" s="14">
        <v>0.93</v>
      </c>
      <c r="J495" s="14">
        <v>0.45</v>
      </c>
      <c r="K495" s="20">
        <f>'Индекс с Дивидендами'!$J495/'Индекс с Дивидендами'!$C495</f>
        <v>0.005882352941</v>
      </c>
    </row>
    <row r="496">
      <c r="A496" s="14">
        <v>2015.0</v>
      </c>
      <c r="B496" s="15" t="s">
        <v>93</v>
      </c>
      <c r="C496" s="14">
        <v>101.26</v>
      </c>
      <c r="D496" s="14">
        <v>1.036173504E10</v>
      </c>
      <c r="E496" s="18">
        <v>2.18589435448E12</v>
      </c>
      <c r="F496" s="14">
        <v>0.48</v>
      </c>
      <c r="G496" s="14">
        <v>1.0</v>
      </c>
      <c r="H496" s="18">
        <v>1.0492292901504E12</v>
      </c>
      <c r="I496" s="14">
        <v>12.7</v>
      </c>
      <c r="J496" s="14">
        <v>0.45</v>
      </c>
      <c r="K496" s="20">
        <f>'Индекс с Дивидендами'!$J496/'Индекс с Дивидендами'!$C496</f>
        <v>0.00444400553</v>
      </c>
    </row>
    <row r="497">
      <c r="A497" s="14">
        <v>2015.0</v>
      </c>
      <c r="B497" s="15" t="s">
        <v>104</v>
      </c>
      <c r="C497" s="14">
        <f>194000/100</f>
        <v>1940</v>
      </c>
      <c r="D497" s="14">
        <v>1554875.0</v>
      </c>
      <c r="E497" s="18">
        <v>3.0164575E11</v>
      </c>
      <c r="F497" s="14">
        <v>1.0</v>
      </c>
      <c r="G497" s="14">
        <v>1.0</v>
      </c>
      <c r="H497" s="18">
        <v>3.0164575E11</v>
      </c>
      <c r="I497" s="14">
        <v>3.65</v>
      </c>
      <c r="J497" s="14">
        <f>757.87/100</f>
        <v>7.5787</v>
      </c>
      <c r="K497" s="20">
        <f>'Индекс с Дивидендами'!$J497/'Индекс с Дивидендами'!$C497</f>
        <v>0.003906546392</v>
      </c>
    </row>
    <row r="498">
      <c r="A498" s="14">
        <v>2015.0</v>
      </c>
      <c r="B498" s="15" t="s">
        <v>59</v>
      </c>
      <c r="C498" s="14">
        <v>1.106</v>
      </c>
      <c r="D498" s="14">
        <v>1.8792E10</v>
      </c>
      <c r="E498" s="18">
        <v>1.154664E11</v>
      </c>
      <c r="F498" s="14">
        <v>0.18</v>
      </c>
      <c r="G498" s="14">
        <v>1.0</v>
      </c>
      <c r="H498" s="18">
        <v>2.0783952E10</v>
      </c>
      <c r="I498" s="14">
        <v>0.25</v>
      </c>
      <c r="J498" s="14">
        <v>0.001039679</v>
      </c>
      <c r="K498" s="20">
        <f>'Индекс с Дивидендами'!$J498/'Индекс с Дивидендами'!$C498</f>
        <v>0.0009400352622</v>
      </c>
    </row>
    <row r="499" hidden="1">
      <c r="A499" s="14">
        <v>2015.0</v>
      </c>
      <c r="B499" s="15" t="s">
        <v>181</v>
      </c>
      <c r="C499" s="14">
        <v>1147.0</v>
      </c>
      <c r="D499" s="14">
        <v>8.3148344E7</v>
      </c>
      <c r="E499" s="18">
        <v>3.17903836756E11</v>
      </c>
      <c r="F499" s="14">
        <v>0.3</v>
      </c>
      <c r="G499" s="14">
        <v>1.0</v>
      </c>
      <c r="H499" s="18">
        <v>9.53711510268E10</v>
      </c>
      <c r="I499" s="14">
        <v>1.15</v>
      </c>
      <c r="J499" s="14"/>
      <c r="K499" s="14">
        <f>'Индекс с Дивидендами'!$J499/'Индекс с Дивидендами'!$C499</f>
        <v>0</v>
      </c>
    </row>
    <row r="500">
      <c r="A500" s="14">
        <v>2014.0</v>
      </c>
      <c r="B500" s="15" t="s">
        <v>65</v>
      </c>
      <c r="C500" s="14">
        <v>123.4</v>
      </c>
      <c r="D500" s="14">
        <v>7.5502655E7</v>
      </c>
      <c r="E500" s="18">
        <v>2.21833992118E10</v>
      </c>
      <c r="F500" s="14">
        <v>0.42</v>
      </c>
      <c r="G500" s="14">
        <v>1.0</v>
      </c>
      <c r="H500" s="18">
        <v>9.31702766896E9</v>
      </c>
      <c r="I500" s="14">
        <v>0.14</v>
      </c>
      <c r="J500" s="14">
        <v>45.0</v>
      </c>
      <c r="K500" s="20">
        <f>'Индекс с Дивидендами'!$J500/'Индекс с Дивидендами'!$C500</f>
        <v>0.3646677472</v>
      </c>
    </row>
    <row r="501">
      <c r="A501" s="14">
        <v>2014.0</v>
      </c>
      <c r="B501" s="15" t="s">
        <v>150</v>
      </c>
      <c r="C501" s="14">
        <v>922.0</v>
      </c>
      <c r="D501" s="14">
        <v>1.8766448E7</v>
      </c>
      <c r="E501" s="18">
        <v>2.7464547064E10</v>
      </c>
      <c r="F501" s="14">
        <v>0.63</v>
      </c>
      <c r="G501" s="14">
        <v>1.0</v>
      </c>
      <c r="H501" s="18">
        <v>1.730266465032E10</v>
      </c>
      <c r="I501" s="14">
        <v>0.27</v>
      </c>
      <c r="J501" s="14">
        <v>211.0</v>
      </c>
      <c r="K501" s="20">
        <f>'Индекс с Дивидендами'!$J501/'Индекс с Дивидендами'!$C501</f>
        <v>0.2288503254</v>
      </c>
    </row>
    <row r="502">
      <c r="A502" s="14">
        <v>2014.0</v>
      </c>
      <c r="B502" s="15" t="s">
        <v>37</v>
      </c>
      <c r="C502" s="14">
        <v>11.4</v>
      </c>
      <c r="D502" s="14">
        <v>3.474E9</v>
      </c>
      <c r="E502" s="18">
        <v>1.1001E11</v>
      </c>
      <c r="F502" s="14">
        <v>0.36</v>
      </c>
      <c r="G502" s="14">
        <v>1.0</v>
      </c>
      <c r="H502" s="18">
        <v>3.96036E10</v>
      </c>
      <c r="I502" s="14">
        <v>0.61</v>
      </c>
      <c r="J502" s="14">
        <v>2.06</v>
      </c>
      <c r="K502" s="20">
        <f>'Индекс с Дивидендами'!$J502/'Индекс с Дивидендами'!$C502</f>
        <v>0.1807017544</v>
      </c>
    </row>
    <row r="503">
      <c r="A503" s="14">
        <v>2014.0</v>
      </c>
      <c r="B503" s="15" t="s">
        <v>149</v>
      </c>
      <c r="C503" s="14">
        <v>1250.0</v>
      </c>
      <c r="D503" s="14">
        <v>1.8068479E7</v>
      </c>
      <c r="E503" s="18">
        <v>1.882133275E11</v>
      </c>
      <c r="F503" s="14">
        <v>0.12</v>
      </c>
      <c r="G503" s="14">
        <v>1.0</v>
      </c>
      <c r="H503" s="18">
        <v>2.25855993E10</v>
      </c>
      <c r="I503" s="14">
        <v>0.35</v>
      </c>
      <c r="J503" s="14">
        <v>211.0</v>
      </c>
      <c r="K503" s="20">
        <f>'Индекс с Дивидендами'!$J503/'Индекс с Дивидендами'!$C503</f>
        <v>0.1688</v>
      </c>
    </row>
    <row r="504">
      <c r="A504" s="14">
        <v>2014.0</v>
      </c>
      <c r="B504" s="15" t="s">
        <v>158</v>
      </c>
      <c r="C504" s="14">
        <v>350.0</v>
      </c>
      <c r="D504" s="14">
        <v>1.5764273E7</v>
      </c>
      <c r="E504" s="18">
        <v>1.199455565E10</v>
      </c>
      <c r="F504" s="14">
        <v>0.46</v>
      </c>
      <c r="G504" s="14">
        <v>1.0</v>
      </c>
      <c r="H504" s="18">
        <v>5.517495599E9</v>
      </c>
      <c r="I504" s="14">
        <v>0.09</v>
      </c>
      <c r="J504" s="14">
        <v>52.52</v>
      </c>
      <c r="K504" s="20">
        <f>'Индекс с Дивидендами'!$J504/'Индекс с Дивидендами'!$C504</f>
        <v>0.1500571429</v>
      </c>
    </row>
    <row r="505">
      <c r="A505" s="14">
        <v>2014.0</v>
      </c>
      <c r="B505" s="15" t="s">
        <v>74</v>
      </c>
      <c r="C505" s="14">
        <v>169.05</v>
      </c>
      <c r="D505" s="14">
        <v>1.012542645E9</v>
      </c>
      <c r="E505" s="18">
        <v>3.493272126561E11</v>
      </c>
      <c r="F505" s="14">
        <v>0.49</v>
      </c>
      <c r="G505" s="14">
        <v>1.0</v>
      </c>
      <c r="H505" s="18">
        <v>1.7117033420149E11</v>
      </c>
      <c r="I505" s="14">
        <v>2.64</v>
      </c>
      <c r="J505" s="14">
        <v>24.8</v>
      </c>
      <c r="K505" s="20">
        <f>'Индекс с Дивидендами'!$J505/'Индекс с Дивидендами'!$C505</f>
        <v>0.1467021591</v>
      </c>
    </row>
    <row r="506">
      <c r="A506" s="14">
        <v>2014.0</v>
      </c>
      <c r="B506" s="15" t="s">
        <v>96</v>
      </c>
      <c r="C506" s="14">
        <v>501.9</v>
      </c>
      <c r="D506" s="14">
        <v>1.75920919E8</v>
      </c>
      <c r="E506" s="18">
        <v>4.20450995454E11</v>
      </c>
      <c r="F506" s="14">
        <v>0.21</v>
      </c>
      <c r="G506" s="14">
        <v>1.0</v>
      </c>
      <c r="H506" s="18">
        <v>8.829470904534E10</v>
      </c>
      <c r="I506" s="14">
        <v>1.36</v>
      </c>
      <c r="J506" s="14">
        <v>62.86</v>
      </c>
      <c r="K506" s="20">
        <f>'Индекс с Дивидендами'!$J506/'Индекс с Дивидендами'!$C506</f>
        <v>0.1252440725</v>
      </c>
    </row>
    <row r="507">
      <c r="A507" s="14">
        <v>2014.0</v>
      </c>
      <c r="B507" s="15" t="s">
        <v>45</v>
      </c>
      <c r="C507" s="14">
        <f>8080/100</f>
        <v>80.8</v>
      </c>
      <c r="D507" s="14">
        <v>4.7473643E7</v>
      </c>
      <c r="E507" s="18">
        <v>1.27862344608E12</v>
      </c>
      <c r="F507" s="14">
        <v>0.3</v>
      </c>
      <c r="G507" s="14">
        <v>1.0</v>
      </c>
      <c r="H507" s="18">
        <v>3.83587033824E11</v>
      </c>
      <c r="I507" s="14">
        <v>5.93</v>
      </c>
      <c r="J507" s="14">
        <f>1010.82/100</f>
        <v>10.1082</v>
      </c>
      <c r="K507" s="20">
        <f>'Индекс с Дивидендами'!$J507/'Индекс с Дивидендами'!$C507</f>
        <v>0.1251014851</v>
      </c>
    </row>
    <row r="508" hidden="1">
      <c r="A508" s="14">
        <v>2014.0</v>
      </c>
      <c r="B508" s="15" t="s">
        <v>188</v>
      </c>
      <c r="C508" s="14">
        <v>359.7</v>
      </c>
      <c r="D508" s="14">
        <v>4.11675E7</v>
      </c>
      <c r="E508" s="18">
        <v>4.4872575E10</v>
      </c>
      <c r="F508" s="14">
        <v>0.33</v>
      </c>
      <c r="G508" s="14">
        <v>1.0</v>
      </c>
      <c r="H508" s="18">
        <v>1.480794975E10</v>
      </c>
      <c r="I508" s="14">
        <v>0.23</v>
      </c>
      <c r="J508" s="14"/>
      <c r="K508" s="14">
        <f>'Индекс с Дивидендами'!$J508/'Индекс с Дивидендами'!$C508</f>
        <v>0</v>
      </c>
    </row>
    <row r="509" hidden="1">
      <c r="A509" s="14">
        <v>2014.0</v>
      </c>
      <c r="B509" s="15" t="s">
        <v>189</v>
      </c>
      <c r="C509" s="14">
        <v>2.28</v>
      </c>
      <c r="D509" s="14">
        <v>1.1348767106E10</v>
      </c>
      <c r="E509" s="18">
        <v>1.437510500106E11</v>
      </c>
      <c r="F509" s="14">
        <v>0.18</v>
      </c>
      <c r="G509" s="14">
        <v>1.0</v>
      </c>
      <c r="H509" s="18">
        <v>2.587518900191E10</v>
      </c>
      <c r="I509" s="14">
        <v>0.4</v>
      </c>
      <c r="J509" s="14"/>
      <c r="K509" s="14">
        <f>'Индекс с Дивидендами'!$J509/'Индекс с Дивидендами'!$C509</f>
        <v>0</v>
      </c>
    </row>
    <row r="510">
      <c r="A510" s="14">
        <v>2014.0</v>
      </c>
      <c r="B510" s="15" t="s">
        <v>152</v>
      </c>
      <c r="C510" s="14">
        <v>66.8</v>
      </c>
      <c r="D510" s="14">
        <v>9.595327E7</v>
      </c>
      <c r="E510" s="18">
        <v>1.88519954E10</v>
      </c>
      <c r="F510" s="14">
        <v>0.34</v>
      </c>
      <c r="G510" s="14">
        <v>1.0</v>
      </c>
      <c r="H510" s="18">
        <v>6.409678436E9</v>
      </c>
      <c r="I510" s="14">
        <v>0.1</v>
      </c>
      <c r="J510" s="14">
        <v>7.09</v>
      </c>
      <c r="K510" s="20">
        <f>'Индекс с Дивидендами'!$J510/'Индекс с Дивидендами'!$C510</f>
        <v>0.1061377246</v>
      </c>
    </row>
    <row r="511">
      <c r="A511" s="14">
        <v>2014.0</v>
      </c>
      <c r="B511" s="15" t="s">
        <v>49</v>
      </c>
      <c r="C511" s="14">
        <v>458.0</v>
      </c>
      <c r="D511" s="14">
        <v>3.3999971E7</v>
      </c>
      <c r="E511" s="18">
        <v>4.718783847E10</v>
      </c>
      <c r="F511" s="14">
        <v>0.33</v>
      </c>
      <c r="G511" s="14">
        <v>1.0</v>
      </c>
      <c r="H511" s="18">
        <v>1.55719866951E10</v>
      </c>
      <c r="I511" s="14">
        <v>0.24</v>
      </c>
      <c r="J511" s="14">
        <v>40.0</v>
      </c>
      <c r="K511" s="20">
        <f>'Индекс с Дивидендами'!$J511/'Индекс с Дивидендами'!$C511</f>
        <v>0.08733624454</v>
      </c>
    </row>
    <row r="512">
      <c r="A512" s="14">
        <v>2014.0</v>
      </c>
      <c r="B512" s="15" t="s">
        <v>91</v>
      </c>
      <c r="C512" s="14">
        <v>57.1</v>
      </c>
      <c r="D512" s="14">
        <v>1.45698881E8</v>
      </c>
      <c r="E512" s="18">
        <v>1.38656768799E10</v>
      </c>
      <c r="F512" s="14">
        <v>0.6</v>
      </c>
      <c r="G512" s="14">
        <v>1.0</v>
      </c>
      <c r="H512" s="18">
        <v>8.31940612794E9</v>
      </c>
      <c r="I512" s="14">
        <v>0.13</v>
      </c>
      <c r="J512" s="14">
        <v>4.85</v>
      </c>
      <c r="K512" s="20">
        <f>'Индекс с Дивидендами'!$J512/'Индекс с Дивидендами'!$C512</f>
        <v>0.08493870403</v>
      </c>
    </row>
    <row r="513">
      <c r="A513" s="14">
        <v>2014.0</v>
      </c>
      <c r="B513" s="15" t="s">
        <v>94</v>
      </c>
      <c r="C513" s="14">
        <v>37.7</v>
      </c>
      <c r="D513" s="14">
        <v>1.0E9</v>
      </c>
      <c r="E513" s="18">
        <v>3.77E10</v>
      </c>
      <c r="F513" s="14">
        <v>1.0</v>
      </c>
      <c r="G513" s="14">
        <v>1.0</v>
      </c>
      <c r="H513" s="18">
        <v>3.77E10</v>
      </c>
      <c r="I513" s="14">
        <v>0.58</v>
      </c>
      <c r="J513" s="14">
        <v>3.2</v>
      </c>
      <c r="K513" s="20">
        <f>'Индекс с Дивидендами'!$J513/'Индекс с Дивидендами'!$C513</f>
        <v>0.0848806366</v>
      </c>
    </row>
    <row r="514">
      <c r="A514" s="14">
        <v>2014.0</v>
      </c>
      <c r="B514" s="15" t="s">
        <v>148</v>
      </c>
      <c r="C514" s="14">
        <v>1799.0</v>
      </c>
      <c r="D514" s="14">
        <v>6485440.0</v>
      </c>
      <c r="E514" s="18">
        <v>7.2920666E10</v>
      </c>
      <c r="F514" s="14">
        <v>0.16</v>
      </c>
      <c r="G514" s="14">
        <v>1.0</v>
      </c>
      <c r="H514" s="18">
        <v>1.166730656E10</v>
      </c>
      <c r="I514" s="14">
        <v>0.18</v>
      </c>
      <c r="J514" s="14">
        <v>152.0</v>
      </c>
      <c r="K514" s="20">
        <f>'Индекс с Дивидендами'!$J514/'Индекс с Дивидендами'!$C514</f>
        <v>0.0844913841</v>
      </c>
    </row>
    <row r="515" hidden="1">
      <c r="A515" s="14">
        <v>2014.0</v>
      </c>
      <c r="B515" s="15" t="s">
        <v>59</v>
      </c>
      <c r="C515" s="14">
        <f>0.0071*100</f>
        <v>0.71</v>
      </c>
      <c r="D515" s="14">
        <v>1.8792E12</v>
      </c>
      <c r="E515" s="18">
        <v>7.43328E10</v>
      </c>
      <c r="F515" s="14">
        <v>0.18</v>
      </c>
      <c r="G515" s="14">
        <v>1.0</v>
      </c>
      <c r="H515" s="18">
        <v>1.3379904E10</v>
      </c>
      <c r="I515" s="14">
        <v>0.21</v>
      </c>
      <c r="J515" s="14"/>
      <c r="K515" s="14">
        <f>'Индекс с Дивидендами'!$J515/'Индекс с Дивидендами'!$C515</f>
        <v>0</v>
      </c>
    </row>
    <row r="516">
      <c r="A516" s="14">
        <v>2014.0</v>
      </c>
      <c r="B516" s="15" t="s">
        <v>142</v>
      </c>
      <c r="C516" s="14">
        <v>29.495</v>
      </c>
      <c r="D516" s="14">
        <v>5.622458712E9</v>
      </c>
      <c r="E516" s="18">
        <v>2.2717043794133E11</v>
      </c>
      <c r="F516" s="14">
        <v>0.73</v>
      </c>
      <c r="G516" s="14">
        <v>1.0</v>
      </c>
      <c r="H516" s="18">
        <v>1.6583441969717E11</v>
      </c>
      <c r="I516" s="14">
        <v>2.56</v>
      </c>
      <c r="J516" s="14">
        <v>2.36</v>
      </c>
      <c r="K516" s="20">
        <f>'Индекс с Дивидендами'!$J516/'Индекс с Дивидендами'!$C516</f>
        <v>0.08001356162</v>
      </c>
    </row>
    <row r="517">
      <c r="A517" s="14">
        <v>2014.0</v>
      </c>
      <c r="B517" s="15" t="s">
        <v>162</v>
      </c>
      <c r="C517" s="14">
        <v>820.0</v>
      </c>
      <c r="D517" s="14">
        <v>9.3E7</v>
      </c>
      <c r="E517" s="18">
        <v>5.084E11</v>
      </c>
      <c r="F517" s="14">
        <v>0.15</v>
      </c>
      <c r="G517" s="14">
        <v>1.0</v>
      </c>
      <c r="H517" s="18">
        <v>7.626E10</v>
      </c>
      <c r="I517" s="14">
        <v>1.18</v>
      </c>
      <c r="J517" s="14">
        <v>64.51</v>
      </c>
      <c r="K517" s="20">
        <f>'Индекс с Дивидендами'!$J517/'Индекс с Дивидендами'!$C517</f>
        <v>0.07867073171</v>
      </c>
    </row>
    <row r="518">
      <c r="A518" s="14">
        <v>2014.0</v>
      </c>
      <c r="B518" s="15" t="s">
        <v>39</v>
      </c>
      <c r="C518" s="14">
        <v>32.23</v>
      </c>
      <c r="D518" s="14">
        <v>3.55397216E8</v>
      </c>
      <c r="E518" s="18">
        <v>3.579516331677E10</v>
      </c>
      <c r="F518" s="14">
        <v>0.32</v>
      </c>
      <c r="G518" s="14">
        <v>1.0</v>
      </c>
      <c r="H518" s="18">
        <v>1.145445226137E10</v>
      </c>
      <c r="I518" s="14">
        <v>0.18</v>
      </c>
      <c r="J518" s="14">
        <v>2.3894</v>
      </c>
      <c r="K518" s="20">
        <f>'Индекс с Дивидендами'!$J518/'Индекс с Дивидендами'!$C518</f>
        <v>0.07413589823</v>
      </c>
    </row>
    <row r="519">
      <c r="A519" s="14">
        <v>2014.0</v>
      </c>
      <c r="B519" s="15" t="s">
        <v>132</v>
      </c>
      <c r="C519" s="14">
        <v>195.8</v>
      </c>
      <c r="D519" s="14">
        <v>1.271781338E9</v>
      </c>
      <c r="E519" s="18">
        <v>2.0751232165686E12</v>
      </c>
      <c r="F519" s="14">
        <v>0.12</v>
      </c>
      <c r="G519" s="14">
        <v>1.0</v>
      </c>
      <c r="H519" s="18">
        <v>2.4901478598823E11</v>
      </c>
      <c r="I519" s="14">
        <v>3.85</v>
      </c>
      <c r="J519" s="14">
        <v>12.85</v>
      </c>
      <c r="K519" s="20">
        <f>'Индекс с Дивидендами'!$J519/'Индекс с Дивидендами'!$C519</f>
        <v>0.06562819203</v>
      </c>
    </row>
    <row r="520">
      <c r="A520" s="14">
        <v>2014.0</v>
      </c>
      <c r="B520" s="15" t="s">
        <v>155</v>
      </c>
      <c r="C520" s="14">
        <v>8340.0</v>
      </c>
      <c r="D520" s="14">
        <v>1152954.0</v>
      </c>
      <c r="E520" s="18">
        <v>9.615634692E10</v>
      </c>
      <c r="F520" s="14">
        <v>0.1</v>
      </c>
      <c r="G520" s="14">
        <v>1.0</v>
      </c>
      <c r="H520" s="18">
        <v>9.615634692E9</v>
      </c>
      <c r="I520" s="14">
        <v>0.15</v>
      </c>
      <c r="J520" s="14">
        <v>533.91</v>
      </c>
      <c r="K520" s="20">
        <f>'Индекс с Дивидендами'!$J520/'Индекс с Дивидендами'!$C520</f>
        <v>0.06401798561</v>
      </c>
    </row>
    <row r="521">
      <c r="A521" s="14">
        <v>2014.0</v>
      </c>
      <c r="B521" s="15" t="s">
        <v>137</v>
      </c>
      <c r="C521" s="14">
        <v>134.1</v>
      </c>
      <c r="D521" s="14">
        <v>1.475085E8</v>
      </c>
      <c r="E521" s="18">
        <v>1.978088985E10</v>
      </c>
      <c r="F521" s="14">
        <v>1.0</v>
      </c>
      <c r="G521" s="14">
        <v>1.0</v>
      </c>
      <c r="H521" s="18">
        <v>1.978088985E10</v>
      </c>
      <c r="I521" s="14">
        <v>0.31</v>
      </c>
      <c r="J521" s="14">
        <v>8.23</v>
      </c>
      <c r="K521" s="20">
        <f>'Индекс с Дивидендами'!$J521/'Индекс с Дивидендами'!$C521</f>
        <v>0.06137211037</v>
      </c>
    </row>
    <row r="522">
      <c r="A522" s="14">
        <v>2014.0</v>
      </c>
      <c r="B522" s="15" t="s">
        <v>93</v>
      </c>
      <c r="C522" s="14">
        <v>54.9</v>
      </c>
      <c r="D522" s="14">
        <v>1.036173504E10</v>
      </c>
      <c r="E522" s="18">
        <v>1.1851234452E12</v>
      </c>
      <c r="F522" s="14">
        <v>0.48</v>
      </c>
      <c r="G522" s="14">
        <v>1.0</v>
      </c>
      <c r="H522" s="18">
        <v>5.68859253696E11</v>
      </c>
      <c r="I522" s="14">
        <v>8.79</v>
      </c>
      <c r="J522" s="14">
        <v>3.2</v>
      </c>
      <c r="K522" s="20">
        <f>'Индекс с Дивидендами'!$J522/'Индекс с Дивидендами'!$C522</f>
        <v>0.05828779599</v>
      </c>
    </row>
    <row r="523">
      <c r="A523" s="14">
        <v>2014.0</v>
      </c>
      <c r="B523" s="15" t="s">
        <v>43</v>
      </c>
      <c r="C523" s="14">
        <v>130.31</v>
      </c>
      <c r="D523" s="14">
        <v>7.478659499E9</v>
      </c>
      <c r="E523" s="18">
        <v>3.084895465999E12</v>
      </c>
      <c r="F523" s="14">
        <v>0.46</v>
      </c>
      <c r="G523" s="14">
        <v>0.6867572</v>
      </c>
      <c r="H523" s="18">
        <v>9.7454411936019E11</v>
      </c>
      <c r="I523" s="14">
        <v>15.05</v>
      </c>
      <c r="J523" s="14">
        <v>7.2</v>
      </c>
      <c r="K523" s="20">
        <f>'Индекс с Дивидендами'!$J523/'Индекс с Дивидендами'!$C523</f>
        <v>0.05525285857</v>
      </c>
    </row>
    <row r="524">
      <c r="A524" s="14">
        <v>2014.0</v>
      </c>
      <c r="B524" s="15" t="s">
        <v>78</v>
      </c>
      <c r="C524" s="14">
        <v>2225.0</v>
      </c>
      <c r="D524" s="14">
        <v>3.91259097E8</v>
      </c>
      <c r="E524" s="18">
        <v>1.892503242375E12</v>
      </c>
      <c r="F524" s="14">
        <v>0.46</v>
      </c>
      <c r="G524" s="14">
        <v>1.0</v>
      </c>
      <c r="H524" s="18">
        <v>8.705514914925E11</v>
      </c>
      <c r="I524" s="14">
        <v>13.45</v>
      </c>
      <c r="J524" s="14">
        <v>120.0</v>
      </c>
      <c r="K524" s="20">
        <f>'Индекс с Дивидендами'!$J524/'Индекс с Дивидендами'!$C524</f>
        <v>0.05393258427</v>
      </c>
    </row>
    <row r="525">
      <c r="A525" s="14">
        <v>2014.0</v>
      </c>
      <c r="B525" s="15" t="s">
        <v>69</v>
      </c>
      <c r="C525" s="14">
        <v>10.821</v>
      </c>
      <c r="D525" s="14">
        <v>1.5644062E9</v>
      </c>
      <c r="E525" s="18">
        <v>1.2091742493E11</v>
      </c>
      <c r="F525" s="14">
        <v>0.14</v>
      </c>
      <c r="G525" s="14">
        <v>1.0</v>
      </c>
      <c r="H525" s="18">
        <v>1.69284394902E10</v>
      </c>
      <c r="I525" s="14">
        <v>0.26</v>
      </c>
      <c r="J525" s="14">
        <v>0.58</v>
      </c>
      <c r="K525" s="20">
        <f>'Индекс с Дивидендами'!$J525/'Индекс с Дивидендами'!$C525</f>
        <v>0.05359948249</v>
      </c>
    </row>
    <row r="526">
      <c r="A526" s="14">
        <v>2014.0</v>
      </c>
      <c r="B526" s="15" t="s">
        <v>161</v>
      </c>
      <c r="C526" s="14">
        <v>700.0</v>
      </c>
      <c r="D526" s="14">
        <v>2.2421524E7</v>
      </c>
      <c r="E526" s="18">
        <v>3.07746411E10</v>
      </c>
      <c r="F526" s="14">
        <v>0.51</v>
      </c>
      <c r="G526" s="14">
        <v>1.0</v>
      </c>
      <c r="H526" s="18">
        <v>1.5695066961E10</v>
      </c>
      <c r="I526" s="14">
        <v>0.24</v>
      </c>
      <c r="J526" s="14">
        <v>34.44</v>
      </c>
      <c r="K526" s="20">
        <f>'Индекс с Дивидендами'!$J526/'Индекс с Дивидендами'!$C526</f>
        <v>0.0492</v>
      </c>
    </row>
    <row r="527">
      <c r="A527" s="14">
        <v>2014.0</v>
      </c>
      <c r="B527" s="15" t="s">
        <v>76</v>
      </c>
      <c r="C527" s="14">
        <v>59.06</v>
      </c>
      <c r="D527" s="14">
        <v>1.162104611E9</v>
      </c>
      <c r="E527" s="18">
        <v>1.3457627127658E11</v>
      </c>
      <c r="F527" s="14">
        <v>0.51</v>
      </c>
      <c r="G527" s="14">
        <v>1.0</v>
      </c>
      <c r="H527" s="18">
        <v>6.863389835106E10</v>
      </c>
      <c r="I527" s="14">
        <v>1.06</v>
      </c>
      <c r="J527" s="14">
        <v>2.38</v>
      </c>
      <c r="K527" s="20">
        <f>'Индекс с Дивидендами'!$J527/'Индекс с Дивидендами'!$C527</f>
        <v>0.04029800203</v>
      </c>
    </row>
    <row r="528">
      <c r="A528" s="14">
        <v>2014.0</v>
      </c>
      <c r="B528" s="15" t="s">
        <v>136</v>
      </c>
      <c r="C528" s="14">
        <v>228.5</v>
      </c>
      <c r="D528" s="14">
        <v>6.97181024E8</v>
      </c>
      <c r="E528" s="18">
        <v>4.9783082495E11</v>
      </c>
      <c r="F528" s="14">
        <v>0.32</v>
      </c>
      <c r="G528" s="14">
        <v>1.0</v>
      </c>
      <c r="H528" s="18">
        <v>1.59305863984E11</v>
      </c>
      <c r="I528" s="14">
        <v>2.46</v>
      </c>
      <c r="J528" s="14">
        <v>8.23</v>
      </c>
      <c r="K528" s="20">
        <f>'Индекс с Дивидендами'!$J528/'Индекс с Дивидендами'!$C528</f>
        <v>0.03601750547</v>
      </c>
    </row>
    <row r="529" hidden="1">
      <c r="A529" s="14">
        <v>2014.0</v>
      </c>
      <c r="B529" s="15" t="s">
        <v>191</v>
      </c>
      <c r="C529" s="14">
        <v>915.0</v>
      </c>
      <c r="D529" s="14">
        <v>1.4739115E7</v>
      </c>
      <c r="E529" s="18">
        <v>3.4580231745E10</v>
      </c>
      <c r="F529" s="14">
        <v>0.39</v>
      </c>
      <c r="G529" s="14">
        <v>1.0</v>
      </c>
      <c r="H529" s="18">
        <v>1.348629038055E10</v>
      </c>
      <c r="I529" s="14">
        <v>0.21</v>
      </c>
      <c r="J529" s="14"/>
      <c r="K529" s="14">
        <f>'Индекс с Дивидендами'!$J529/'Индекс с Дивидендами'!$C529</f>
        <v>0</v>
      </c>
    </row>
    <row r="530">
      <c r="A530" s="14">
        <v>2014.0</v>
      </c>
      <c r="B530" s="15" t="s">
        <v>90</v>
      </c>
      <c r="C530" s="14">
        <v>87.01</v>
      </c>
      <c r="D530" s="14">
        <v>7.47377204E8</v>
      </c>
      <c r="E530" s="18">
        <v>2.3224746623001E11</v>
      </c>
      <c r="F530" s="14">
        <v>0.28</v>
      </c>
      <c r="G530" s="14">
        <v>1.0</v>
      </c>
      <c r="H530" s="18">
        <v>6.50292905444E10</v>
      </c>
      <c r="I530" s="14">
        <v>1.0</v>
      </c>
      <c r="J530" s="14">
        <v>3.12</v>
      </c>
      <c r="K530" s="20">
        <f>'Индекс с Дивидендами'!$J530/'Индекс с Дивидендами'!$C530</f>
        <v>0.03585794736</v>
      </c>
    </row>
    <row r="531">
      <c r="A531" s="14">
        <v>2014.0</v>
      </c>
      <c r="B531" s="15" t="s">
        <v>147</v>
      </c>
      <c r="C531" s="14">
        <v>9701.0</v>
      </c>
      <c r="D531" s="14">
        <v>5.1063132E7</v>
      </c>
      <c r="E531" s="18">
        <v>9.17339704855E11</v>
      </c>
      <c r="F531" s="14">
        <v>0.54</v>
      </c>
      <c r="G531" s="14">
        <v>1.0</v>
      </c>
      <c r="H531" s="18">
        <v>4.953634406217E11</v>
      </c>
      <c r="I531" s="14">
        <v>7.65</v>
      </c>
      <c r="J531" s="14">
        <v>319.52</v>
      </c>
      <c r="K531" s="20">
        <f>'Индекс с Дивидендами'!$J531/'Индекс с Дивидендами'!$C531</f>
        <v>0.03293681064</v>
      </c>
    </row>
    <row r="532">
      <c r="A532" s="14">
        <v>2014.0</v>
      </c>
      <c r="B532" s="15" t="s">
        <v>157</v>
      </c>
      <c r="C532" s="14">
        <v>510.0</v>
      </c>
      <c r="D532" s="14">
        <v>2.10409972E8</v>
      </c>
      <c r="E532" s="18">
        <v>2.1461817093E11</v>
      </c>
      <c r="F532" s="14">
        <v>0.5</v>
      </c>
      <c r="G532" s="14">
        <v>1.0</v>
      </c>
      <c r="H532" s="18">
        <v>1.07309085465E11</v>
      </c>
      <c r="I532" s="14">
        <v>1.66</v>
      </c>
      <c r="J532" s="14">
        <v>16.57</v>
      </c>
      <c r="K532" s="20">
        <f>'Индекс с Дивидендами'!$J532/'Индекс с Дивидендами'!$C532</f>
        <v>0.03249019608</v>
      </c>
    </row>
    <row r="533" hidden="1">
      <c r="A533" s="14">
        <v>2014.0</v>
      </c>
      <c r="B533" s="15" t="s">
        <v>185</v>
      </c>
      <c r="C533" s="14">
        <v>0.4151</v>
      </c>
      <c r="D533" s="14">
        <v>2.2551039463E10</v>
      </c>
      <c r="E533" s="18">
        <v>6.686383200898E10</v>
      </c>
      <c r="F533" s="14">
        <v>0.14</v>
      </c>
      <c r="G533" s="14">
        <v>1.0</v>
      </c>
      <c r="H533" s="18">
        <v>9.36093648126E9</v>
      </c>
      <c r="I533" s="14">
        <v>0.14</v>
      </c>
      <c r="J533" s="14"/>
      <c r="K533" s="14">
        <f>'Индекс с Дивидендами'!$J533/'Индекс с Дивидендами'!$C533</f>
        <v>0</v>
      </c>
    </row>
    <row r="534">
      <c r="A534" s="14">
        <v>2014.0</v>
      </c>
      <c r="B534" s="15" t="s">
        <v>112</v>
      </c>
      <c r="C534" s="14">
        <v>1655.0</v>
      </c>
      <c r="D534" s="14">
        <v>2.4605E7</v>
      </c>
      <c r="E534" s="18">
        <v>2.143225E11</v>
      </c>
      <c r="F534" s="14">
        <v>0.19</v>
      </c>
      <c r="G534" s="14">
        <v>1.0</v>
      </c>
      <c r="H534" s="18">
        <v>4.0721275E10</v>
      </c>
      <c r="I534" s="14">
        <v>0.63</v>
      </c>
      <c r="J534" s="14">
        <v>44.3</v>
      </c>
      <c r="K534" s="20">
        <f>'Индекс с Дивидендами'!$J534/'Индекс с Дивидендами'!$C534</f>
        <v>0.0267673716</v>
      </c>
    </row>
    <row r="535">
      <c r="A535" s="14">
        <v>2014.0</v>
      </c>
      <c r="B535" s="15" t="s">
        <v>141</v>
      </c>
      <c r="C535" s="14">
        <v>23.52</v>
      </c>
      <c r="D535" s="14">
        <v>8.931498676E9</v>
      </c>
      <c r="E535" s="18">
        <v>8.402753954616E11</v>
      </c>
      <c r="F535" s="14">
        <v>0.25</v>
      </c>
      <c r="G535" s="14">
        <v>1.0</v>
      </c>
      <c r="H535" s="18">
        <v>2.100688488654E11</v>
      </c>
      <c r="I535" s="14">
        <v>3.24</v>
      </c>
      <c r="J535" s="14">
        <v>0.6</v>
      </c>
      <c r="K535" s="20">
        <f>'Индекс с Дивидендами'!$J535/'Индекс с Дивидендами'!$C535</f>
        <v>0.02551020408</v>
      </c>
    </row>
    <row r="536" hidden="1">
      <c r="A536" s="14">
        <v>2014.0</v>
      </c>
      <c r="B536" s="15" t="s">
        <v>21</v>
      </c>
      <c r="C536" s="14">
        <f>354/10</f>
        <v>35.4</v>
      </c>
      <c r="D536" s="14">
        <v>1.6E8</v>
      </c>
      <c r="E536" s="18">
        <v>7.08E11</v>
      </c>
      <c r="F536" s="14">
        <v>0.08</v>
      </c>
      <c r="G536" s="14">
        <v>1.0</v>
      </c>
      <c r="H536" s="18">
        <v>5.664E10</v>
      </c>
      <c r="I536" s="14">
        <v>0.87</v>
      </c>
      <c r="J536" s="14"/>
      <c r="K536" s="14">
        <f>'Индекс с Дивидендами'!$J536/'Индекс с Дивидендами'!$C536</f>
        <v>0</v>
      </c>
    </row>
    <row r="537">
      <c r="A537" s="14">
        <v>2014.0</v>
      </c>
      <c r="B537" s="15" t="s">
        <v>106</v>
      </c>
      <c r="C537" s="14">
        <v>0.5415</v>
      </c>
      <c r="D537" s="14">
        <v>1.31326858063E11</v>
      </c>
      <c r="E537" s="18">
        <v>2.0915733423794E11</v>
      </c>
      <c r="F537" s="14">
        <v>0.34</v>
      </c>
      <c r="G537" s="14">
        <v>1.0</v>
      </c>
      <c r="H537" s="18">
        <v>7.11134936409E10</v>
      </c>
      <c r="I537" s="14">
        <v>1.1</v>
      </c>
      <c r="J537" s="14">
        <v>0.01358751</v>
      </c>
      <c r="K537" s="20">
        <f>'Индекс с Дивидендами'!$J537/'Индекс с Дивидендами'!$C537</f>
        <v>0.02509235457</v>
      </c>
    </row>
    <row r="538">
      <c r="A538" s="14">
        <v>2014.0</v>
      </c>
      <c r="B538" s="15" t="s">
        <v>7</v>
      </c>
      <c r="C538" s="14">
        <v>63.0</v>
      </c>
      <c r="D538" s="14">
        <v>1.693942095E9</v>
      </c>
      <c r="E538" s="18">
        <v>4.6399283469E11</v>
      </c>
      <c r="F538" s="14">
        <v>0.23</v>
      </c>
      <c r="G538" s="14">
        <v>1.0</v>
      </c>
      <c r="H538" s="18">
        <v>1.067183519787E11</v>
      </c>
      <c r="I538" s="14">
        <v>1.65</v>
      </c>
      <c r="J538" s="14">
        <v>1.47</v>
      </c>
      <c r="K538" s="20">
        <f>'Индекс с Дивидендами'!$J538/'Индекс с Дивидендами'!$C538</f>
        <v>0.02333333333</v>
      </c>
    </row>
    <row r="539">
      <c r="A539" s="14">
        <v>2014.0</v>
      </c>
      <c r="B539" s="15" t="s">
        <v>82</v>
      </c>
      <c r="C539" s="14">
        <v>66.79</v>
      </c>
      <c r="D539" s="14">
        <v>8.39051814E8</v>
      </c>
      <c r="E539" s="18">
        <v>4.002876473596E11</v>
      </c>
      <c r="F539" s="14">
        <v>0.14</v>
      </c>
      <c r="G539" s="14">
        <v>1.0</v>
      </c>
      <c r="H539" s="18">
        <v>5.604027063034E10</v>
      </c>
      <c r="I539" s="14">
        <v>0.87</v>
      </c>
      <c r="J539" s="14">
        <v>1.55</v>
      </c>
      <c r="K539" s="20">
        <f>'Индекс с Дивидендами'!$J539/'Индекс с Дивидендами'!$C539</f>
        <v>0.02320706693</v>
      </c>
    </row>
    <row r="540">
      <c r="A540" s="14">
        <v>2014.0</v>
      </c>
      <c r="B540" s="15" t="s">
        <v>159</v>
      </c>
      <c r="C540" s="14">
        <v>35.0</v>
      </c>
      <c r="D540" s="14">
        <v>2.62524106E8</v>
      </c>
      <c r="E540" s="18">
        <v>3.281551329E10</v>
      </c>
      <c r="F540" s="14">
        <v>0.28</v>
      </c>
      <c r="G540" s="14">
        <v>1.0</v>
      </c>
      <c r="H540" s="18">
        <v>9.1883437212E9</v>
      </c>
      <c r="I540" s="14">
        <v>0.14</v>
      </c>
      <c r="J540" s="14">
        <v>0.78</v>
      </c>
      <c r="K540" s="20">
        <f>'Индекс с Дивидендами'!$J540/'Индекс с Дивидендами'!$C540</f>
        <v>0.02228571429</v>
      </c>
    </row>
    <row r="541">
      <c r="A541" s="14">
        <v>2014.0</v>
      </c>
      <c r="B541" s="15" t="s">
        <v>86</v>
      </c>
      <c r="C541" s="14">
        <v>187.3</v>
      </c>
      <c r="D541" s="14">
        <v>2.1135915E8</v>
      </c>
      <c r="E541" s="18">
        <v>1.237111525312E11</v>
      </c>
      <c r="F541" s="14">
        <v>0.32</v>
      </c>
      <c r="G541" s="14">
        <v>1.0</v>
      </c>
      <c r="H541" s="18">
        <v>3.958756880998E10</v>
      </c>
      <c r="I541" s="14">
        <v>0.61</v>
      </c>
      <c r="J541" s="14">
        <v>4.16</v>
      </c>
      <c r="K541" s="20">
        <f>'Индекс с Дивидендами'!$J541/'Индекс с Дивидендами'!$C541</f>
        <v>0.02221035771</v>
      </c>
    </row>
    <row r="542">
      <c r="A542" s="14">
        <v>2014.0</v>
      </c>
      <c r="B542" s="15" t="s">
        <v>130</v>
      </c>
      <c r="C542" s="14">
        <v>434.6</v>
      </c>
      <c r="D542" s="14">
        <v>8.1980262E8</v>
      </c>
      <c r="E542" s="18">
        <v>1.3195785876E12</v>
      </c>
      <c r="F542" s="14">
        <v>0.27</v>
      </c>
      <c r="G542" s="14">
        <v>1.0</v>
      </c>
      <c r="H542" s="18">
        <v>3.56286218652E11</v>
      </c>
      <c r="I542" s="14">
        <v>5.5</v>
      </c>
      <c r="J542" s="14">
        <v>9.59</v>
      </c>
      <c r="K542" s="20">
        <f>'Индекс с Дивидендами'!$J542/'Индекс с Дивидендами'!$C542</f>
        <v>0.02206626783</v>
      </c>
    </row>
    <row r="543">
      <c r="A543" s="14">
        <v>2014.0</v>
      </c>
      <c r="B543" s="15" t="s">
        <v>153</v>
      </c>
      <c r="C543" s="14">
        <v>1.16</v>
      </c>
      <c r="D543" s="14">
        <v>2.88897231E9</v>
      </c>
      <c r="E543" s="18">
        <v>2.2341385864E10</v>
      </c>
      <c r="F543" s="14">
        <v>0.15</v>
      </c>
      <c r="G543" s="14">
        <v>1.0</v>
      </c>
      <c r="H543" s="18">
        <v>3.3512078796E9</v>
      </c>
      <c r="I543" s="14">
        <v>0.05</v>
      </c>
      <c r="J543" s="14">
        <v>0.023364</v>
      </c>
      <c r="K543" s="20">
        <f>'Индекс с Дивидендами'!$J543/'Индекс с Дивидендами'!$C543</f>
        <v>0.02014137931</v>
      </c>
    </row>
    <row r="544">
      <c r="A544" s="14">
        <v>2014.0</v>
      </c>
      <c r="B544" s="15" t="s">
        <v>9</v>
      </c>
      <c r="C544" s="14">
        <f>0.067*5000</f>
        <v>335</v>
      </c>
      <c r="D544" s="19">
        <v>1.2960541121562E13</v>
      </c>
      <c r="E544" s="18">
        <v>8.6835626960165E11</v>
      </c>
      <c r="F544" s="14">
        <v>0.39</v>
      </c>
      <c r="G544" s="14">
        <v>1.0</v>
      </c>
      <c r="H544" s="18">
        <v>3.3865894514464E11</v>
      </c>
      <c r="I544" s="14">
        <v>5.23</v>
      </c>
      <c r="J544" s="14">
        <f>0.00116*5000</f>
        <v>5.8</v>
      </c>
      <c r="K544" s="20">
        <f>'Индекс с Дивидендами'!$J544/'Индекс с Дивидендами'!$C544</f>
        <v>0.01731343284</v>
      </c>
    </row>
    <row r="545">
      <c r="A545" s="14">
        <v>2014.0</v>
      </c>
      <c r="B545" s="15" t="s">
        <v>160</v>
      </c>
      <c r="C545" s="14">
        <v>128.4</v>
      </c>
      <c r="D545" s="14">
        <v>9.68885244E8</v>
      </c>
      <c r="E545" s="18">
        <v>3.769844404044E11</v>
      </c>
      <c r="F545" s="14">
        <v>0.33</v>
      </c>
      <c r="G545" s="14">
        <v>1.0</v>
      </c>
      <c r="H545" s="18">
        <v>1.2440486533345E11</v>
      </c>
      <c r="I545" s="14">
        <v>1.92</v>
      </c>
      <c r="J545" s="14">
        <v>1.63</v>
      </c>
      <c r="K545" s="20">
        <f>'Индекс с Дивидендами'!$J545/'Индекс с Дивидендами'!$C545</f>
        <v>0.01269470405</v>
      </c>
    </row>
    <row r="546">
      <c r="A546" s="14">
        <v>2014.0</v>
      </c>
      <c r="B546" s="15" t="s">
        <v>108</v>
      </c>
      <c r="C546" s="14">
        <v>0.0457</v>
      </c>
      <c r="D546" s="14">
        <v>2.67679717843E11</v>
      </c>
      <c r="E546" s="18">
        <v>5.823945861075E10</v>
      </c>
      <c r="F546" s="14">
        <v>0.21</v>
      </c>
      <c r="G546" s="14">
        <v>1.0</v>
      </c>
      <c r="H546" s="18">
        <v>1.223028630826E10</v>
      </c>
      <c r="I546" s="14">
        <v>0.19</v>
      </c>
      <c r="J546" s="14">
        <v>3.42681E-4</v>
      </c>
      <c r="K546" s="20">
        <f>'Индекс с Дивидендами'!$J546/'Индекс с Дивидендами'!$C546</f>
        <v>0.007498490153</v>
      </c>
    </row>
    <row r="547">
      <c r="A547" s="14">
        <v>2014.0</v>
      </c>
      <c r="B547" s="15" t="s">
        <v>104</v>
      </c>
      <c r="C547" s="14">
        <f>126000/100</f>
        <v>1260</v>
      </c>
      <c r="D547" s="14">
        <v>1554875.0</v>
      </c>
      <c r="E547" s="18">
        <v>1.9591425E11</v>
      </c>
      <c r="F547" s="14">
        <v>1.0</v>
      </c>
      <c r="G547" s="14">
        <v>1.0</v>
      </c>
      <c r="H547" s="18">
        <v>1.9591425E11</v>
      </c>
      <c r="I547" s="14">
        <v>3.03</v>
      </c>
      <c r="J547" s="14">
        <f>724.21/100</f>
        <v>7.2421</v>
      </c>
      <c r="K547" s="20">
        <f>'Индекс с Дивидендами'!$J547/'Индекс с Дивидендами'!$C547</f>
        <v>0.005747698413</v>
      </c>
    </row>
    <row r="548">
      <c r="A548" s="14">
        <v>2014.0</v>
      </c>
      <c r="B548" s="15" t="s">
        <v>33</v>
      </c>
      <c r="C548" s="14">
        <v>24.45</v>
      </c>
      <c r="D548" s="14">
        <v>1.977993E8</v>
      </c>
      <c r="E548" s="18">
        <v>1.07470953E10</v>
      </c>
      <c r="F548" s="14">
        <v>0.45</v>
      </c>
      <c r="G548" s="14">
        <v>1.0</v>
      </c>
      <c r="H548" s="18">
        <v>4.836192885E9</v>
      </c>
      <c r="I548" s="14">
        <v>0.07</v>
      </c>
      <c r="J548" s="14">
        <v>0.11</v>
      </c>
      <c r="K548" s="20">
        <f>'Индекс с Дивидендами'!$J548/'Индекс с Дивидендами'!$C548</f>
        <v>0.004498977505</v>
      </c>
    </row>
    <row r="549" hidden="1">
      <c r="A549" s="14">
        <v>2014.0</v>
      </c>
      <c r="B549" s="15" t="s">
        <v>181</v>
      </c>
      <c r="C549" s="14">
        <v>1025.0</v>
      </c>
      <c r="D549" s="14">
        <v>7.8127303E7</v>
      </c>
      <c r="E549" s="18">
        <v>2.6693495055E11</v>
      </c>
      <c r="F549" s="14">
        <v>0.3</v>
      </c>
      <c r="G549" s="14">
        <v>1.0</v>
      </c>
      <c r="H549" s="18">
        <v>8.0080485165E10</v>
      </c>
      <c r="I549" s="14">
        <v>1.24</v>
      </c>
      <c r="J549" s="14"/>
      <c r="K549" s="14">
        <f>'Индекс с Дивидендами'!$J549/'Индекс с Дивидендами'!$C549</f>
        <v>0</v>
      </c>
    </row>
    <row r="550">
      <c r="A550" s="14">
        <v>2013.0</v>
      </c>
      <c r="B550" s="15" t="s">
        <v>150</v>
      </c>
      <c r="C550" s="14">
        <v>1430.1</v>
      </c>
      <c r="D550" s="14">
        <v>3.8673878E7</v>
      </c>
      <c r="E550" s="18">
        <v>5.53075129278E10</v>
      </c>
      <c r="F550" s="14">
        <v>1.0</v>
      </c>
      <c r="G550" s="14">
        <v>1.0</v>
      </c>
      <c r="H550" s="18">
        <v>5.53075129278E10</v>
      </c>
      <c r="I550" s="14">
        <v>0.81</v>
      </c>
      <c r="J550" s="14">
        <v>223.0</v>
      </c>
      <c r="K550" s="20">
        <f>'Индекс с Дивидендами'!$J550/'Индекс с Дивидендами'!$C550</f>
        <v>0.1559331515</v>
      </c>
    </row>
    <row r="551">
      <c r="A551" s="14">
        <v>2013.0</v>
      </c>
      <c r="B551" s="15" t="s">
        <v>45</v>
      </c>
      <c r="C551" s="14">
        <f>5399/100</f>
        <v>53.99</v>
      </c>
      <c r="D551" s="14">
        <v>4.7473643E7</v>
      </c>
      <c r="E551" s="18">
        <v>8.54367324924E11</v>
      </c>
      <c r="F551" s="14">
        <v>0.3</v>
      </c>
      <c r="G551" s="14">
        <v>1.0</v>
      </c>
      <c r="H551" s="18">
        <v>2.563101974772E11</v>
      </c>
      <c r="I551" s="14">
        <v>3.77</v>
      </c>
      <c r="J551" s="14">
        <f>621.53/100</f>
        <v>6.2153</v>
      </c>
      <c r="K551" s="20">
        <f>'Индекс с Дивидендами'!$J551/'Индекс с Дивидендами'!$C551</f>
        <v>0.1151194666</v>
      </c>
    </row>
    <row r="552">
      <c r="A552" s="14">
        <v>2013.0</v>
      </c>
      <c r="B552" s="15" t="s">
        <v>149</v>
      </c>
      <c r="C552" s="14">
        <v>2000.0</v>
      </c>
      <c r="D552" s="14">
        <v>2.264527E7</v>
      </c>
      <c r="E552" s="18">
        <v>3.77421174E11</v>
      </c>
      <c r="F552" s="14">
        <v>0.12</v>
      </c>
      <c r="G552" s="14">
        <v>1.0</v>
      </c>
      <c r="H552" s="18">
        <v>4.529054088E10</v>
      </c>
      <c r="I552" s="14">
        <v>0.67</v>
      </c>
      <c r="J552" s="14">
        <v>223.0</v>
      </c>
      <c r="K552" s="20">
        <f>'Индекс с Дивидендами'!$J552/'Индекс с Дивидендами'!$C552</f>
        <v>0.1115</v>
      </c>
    </row>
    <row r="553">
      <c r="A553" s="14">
        <v>2013.0</v>
      </c>
      <c r="B553" s="15" t="s">
        <v>137</v>
      </c>
      <c r="C553" s="14">
        <v>121.7</v>
      </c>
      <c r="D553" s="14">
        <v>1.475085E8</v>
      </c>
      <c r="E553" s="18">
        <v>1.795178445E10</v>
      </c>
      <c r="F553" s="14">
        <v>1.0</v>
      </c>
      <c r="G553" s="14">
        <v>1.0</v>
      </c>
      <c r="H553" s="18">
        <v>1.795178445E10</v>
      </c>
      <c r="I553" s="14">
        <v>0.26</v>
      </c>
      <c r="J553" s="14">
        <v>8.6</v>
      </c>
      <c r="K553" s="20">
        <f>'Индекс с Дивидендами'!$J553/'Индекс с Дивидендами'!$C553</f>
        <v>0.07066557108</v>
      </c>
    </row>
    <row r="554">
      <c r="A554" s="14">
        <v>2013.0</v>
      </c>
      <c r="B554" s="15" t="s">
        <v>151</v>
      </c>
      <c r="C554" s="14">
        <v>1.3893</v>
      </c>
      <c r="D554" s="14">
        <v>5.844850989E9</v>
      </c>
      <c r="E554" s="18">
        <v>6.766876232376E10</v>
      </c>
      <c r="F554" s="14">
        <v>0.12</v>
      </c>
      <c r="G554" s="14">
        <v>1.0</v>
      </c>
      <c r="H554" s="18">
        <v>8.12025147885E9</v>
      </c>
      <c r="I554" s="14">
        <v>0.12</v>
      </c>
      <c r="J554" s="14">
        <v>0.088201</v>
      </c>
      <c r="K554" s="20">
        <f>'Индекс с Дивидендами'!$J554/'Индекс с Дивидендами'!$C554</f>
        <v>0.06348592817</v>
      </c>
    </row>
    <row r="555">
      <c r="A555" s="14">
        <v>2013.0</v>
      </c>
      <c r="B555" s="15" t="s">
        <v>158</v>
      </c>
      <c r="C555" s="14">
        <v>860.4</v>
      </c>
      <c r="D555" s="14">
        <v>1.1651854E7</v>
      </c>
      <c r="E555" s="18">
        <v>2.94860448036E10</v>
      </c>
      <c r="F555" s="14">
        <v>0.34</v>
      </c>
      <c r="G555" s="14">
        <v>1.0</v>
      </c>
      <c r="H555" s="18">
        <v>1.002525523322E10</v>
      </c>
      <c r="I555" s="14">
        <v>0.15</v>
      </c>
      <c r="J555" s="14">
        <v>52.52</v>
      </c>
      <c r="K555" s="20">
        <f>'Индекс с Дивидендами'!$J555/'Индекс с Дивидендами'!$C555</f>
        <v>0.0610413761</v>
      </c>
    </row>
    <row r="556">
      <c r="A556" s="14">
        <v>2013.0</v>
      </c>
      <c r="B556" s="15" t="s">
        <v>74</v>
      </c>
      <c r="C556" s="14">
        <v>328.29</v>
      </c>
      <c r="D556" s="14">
        <v>1.012542645E9</v>
      </c>
      <c r="E556" s="18">
        <v>6.7838290826898E11</v>
      </c>
      <c r="F556" s="14">
        <v>0.49</v>
      </c>
      <c r="G556" s="14">
        <v>1.0</v>
      </c>
      <c r="H556" s="18">
        <v>3.324076250518E11</v>
      </c>
      <c r="I556" s="14">
        <v>4.89</v>
      </c>
      <c r="J556" s="14">
        <v>19.82</v>
      </c>
      <c r="K556" s="20">
        <f>'Индекс с Дивидендами'!$J556/'Индекс с Дивидендами'!$C556</f>
        <v>0.0603734503</v>
      </c>
    </row>
    <row r="557" hidden="1">
      <c r="A557" s="14">
        <v>2013.0</v>
      </c>
      <c r="B557" s="15" t="s">
        <v>188</v>
      </c>
      <c r="C557" s="14">
        <v>410.0</v>
      </c>
      <c r="D557" s="14">
        <v>4.11675E7</v>
      </c>
      <c r="E557" s="18">
        <v>5.11475E10</v>
      </c>
      <c r="F557" s="14">
        <v>0.33</v>
      </c>
      <c r="G557" s="14">
        <v>1.0</v>
      </c>
      <c r="H557" s="18">
        <v>1.6878675E10</v>
      </c>
      <c r="I557" s="14">
        <v>0.25</v>
      </c>
      <c r="J557" s="14"/>
      <c r="K557" s="14">
        <f>'Индекс с Дивидендами'!$J557/'Индекс с Дивидендами'!$C557</f>
        <v>0</v>
      </c>
    </row>
    <row r="558" hidden="1">
      <c r="A558" s="14">
        <v>2013.0</v>
      </c>
      <c r="B558" s="15" t="s">
        <v>189</v>
      </c>
      <c r="C558" s="14">
        <v>2.3474</v>
      </c>
      <c r="D558" s="14">
        <v>1.1348767106E10</v>
      </c>
      <c r="E558" s="18">
        <v>1.4800053280477E11</v>
      </c>
      <c r="F558" s="14">
        <v>0.18</v>
      </c>
      <c r="G558" s="14">
        <v>1.0</v>
      </c>
      <c r="H558" s="18">
        <v>2.664009590486E10</v>
      </c>
      <c r="I558" s="14">
        <v>0.39</v>
      </c>
      <c r="J558" s="14"/>
      <c r="K558" s="14">
        <f>'Индекс с Дивидендами'!$J558/'Индекс с Дивидендами'!$C558</f>
        <v>0</v>
      </c>
    </row>
    <row r="559" hidden="1">
      <c r="A559" s="14">
        <v>2013.0</v>
      </c>
      <c r="B559" s="15" t="s">
        <v>108</v>
      </c>
      <c r="C559" s="14">
        <v>0.0902</v>
      </c>
      <c r="D559" s="14">
        <v>2.66099613359E11</v>
      </c>
      <c r="E559" s="18">
        <v>1.142454340022E11</v>
      </c>
      <c r="F559" s="14">
        <v>0.21</v>
      </c>
      <c r="G559" s="14">
        <v>1.0</v>
      </c>
      <c r="H559" s="18">
        <v>2.399154114046E10</v>
      </c>
      <c r="I559" s="14">
        <v>0.35</v>
      </c>
      <c r="J559" s="14"/>
      <c r="K559" s="14">
        <f>'Индекс с Дивидендами'!$J559/'Индекс с Дивидендами'!$C559</f>
        <v>0</v>
      </c>
    </row>
    <row r="560">
      <c r="A560" s="14">
        <v>2013.0</v>
      </c>
      <c r="B560" s="15" t="s">
        <v>152</v>
      </c>
      <c r="C560" s="14">
        <v>134.0</v>
      </c>
      <c r="D560" s="14">
        <v>9.595327E7</v>
      </c>
      <c r="E560" s="18">
        <v>3.7816877E10</v>
      </c>
      <c r="F560" s="14">
        <v>0.34</v>
      </c>
      <c r="G560" s="14">
        <v>1.0</v>
      </c>
      <c r="H560" s="18">
        <v>1.285773818E10</v>
      </c>
      <c r="I560" s="14">
        <v>0.19</v>
      </c>
      <c r="J560" s="14">
        <v>7.8</v>
      </c>
      <c r="K560" s="20">
        <f>'Индекс с Дивидендами'!$J560/'Индекс с Дивидендами'!$C560</f>
        <v>0.05820895522</v>
      </c>
    </row>
    <row r="561">
      <c r="A561" s="14">
        <v>2013.0</v>
      </c>
      <c r="B561" s="15" t="s">
        <v>142</v>
      </c>
      <c r="C561" s="14">
        <v>25.9</v>
      </c>
      <c r="D561" s="14">
        <v>5.107174989E9</v>
      </c>
      <c r="E561" s="18">
        <v>1.994817542865E11</v>
      </c>
      <c r="F561" s="14">
        <v>0.73</v>
      </c>
      <c r="G561" s="14">
        <v>0.9083526</v>
      </c>
      <c r="H561" s="18">
        <v>1.3227583221585E11</v>
      </c>
      <c r="I561" s="14">
        <v>1.95</v>
      </c>
      <c r="J561" s="14">
        <v>1.48</v>
      </c>
      <c r="K561" s="20">
        <f>'Индекс с Дивидендами'!$J561/'Индекс с Дивидендами'!$C561</f>
        <v>0.05714285714</v>
      </c>
    </row>
    <row r="562">
      <c r="A562" s="14">
        <v>2013.0</v>
      </c>
      <c r="B562" s="15" t="s">
        <v>91</v>
      </c>
      <c r="C562" s="14">
        <v>74.83</v>
      </c>
      <c r="D562" s="14">
        <v>1.69982028E8</v>
      </c>
      <c r="E562" s="18">
        <v>1.817107882527E10</v>
      </c>
      <c r="F562" s="14">
        <v>0.7</v>
      </c>
      <c r="G562" s="14">
        <v>1.0</v>
      </c>
      <c r="H562" s="18">
        <v>1.271975517769E10</v>
      </c>
      <c r="I562" s="14">
        <v>0.19</v>
      </c>
      <c r="J562" s="14">
        <v>4.1022</v>
      </c>
      <c r="K562" s="20">
        <f>'Индекс с Дивидендами'!$J562/'Индекс с Дивидендами'!$C562</f>
        <v>0.05482025925</v>
      </c>
    </row>
    <row r="563" hidden="1">
      <c r="A563" s="14">
        <v>2013.0</v>
      </c>
      <c r="B563" s="15" t="s">
        <v>59</v>
      </c>
      <c r="C563" s="14">
        <f>0.01*100</f>
        <v>1</v>
      </c>
      <c r="D563" s="14">
        <v>1.879200179583E12</v>
      </c>
      <c r="E563" s="18">
        <v>1.0440000997683E11</v>
      </c>
      <c r="F563" s="14">
        <v>0.18</v>
      </c>
      <c r="G563" s="14">
        <v>1.0</v>
      </c>
      <c r="H563" s="18">
        <v>1.879200179583E10</v>
      </c>
      <c r="I563" s="14">
        <v>0.28</v>
      </c>
      <c r="J563" s="14"/>
      <c r="K563" s="14">
        <f>'Индекс с Дивидендами'!$J563/'Индекс с Дивидендами'!$C563</f>
        <v>0</v>
      </c>
    </row>
    <row r="564">
      <c r="A564" s="14">
        <v>2013.0</v>
      </c>
      <c r="B564" s="15" t="s">
        <v>78</v>
      </c>
      <c r="C564" s="14">
        <v>2039.7</v>
      </c>
      <c r="D564" s="14">
        <v>4.40388466E8</v>
      </c>
      <c r="E564" s="18">
        <v>1.7348938712235E12</v>
      </c>
      <c r="F564" s="14">
        <v>0.57</v>
      </c>
      <c r="G564" s="14">
        <v>0.9083526</v>
      </c>
      <c r="H564" s="18">
        <v>8.9826035443043E11</v>
      </c>
      <c r="I564" s="14">
        <v>13.22</v>
      </c>
      <c r="J564" s="14">
        <v>100.0</v>
      </c>
      <c r="K564" s="20">
        <f>'Индекс с Дивидендами'!$J564/'Индекс с Дивидендами'!$C564</f>
        <v>0.04902681767</v>
      </c>
    </row>
    <row r="565">
      <c r="A565" s="14">
        <v>2013.0</v>
      </c>
      <c r="B565" s="15" t="s">
        <v>65</v>
      </c>
      <c r="C565" s="14">
        <v>298.0</v>
      </c>
      <c r="D565" s="14">
        <v>4.6739739E7</v>
      </c>
      <c r="E565" s="18">
        <v>5.3570931646E10</v>
      </c>
      <c r="F565" s="14">
        <v>0.26</v>
      </c>
      <c r="G565" s="14">
        <v>1.0</v>
      </c>
      <c r="H565" s="18">
        <v>1.392844222796E10</v>
      </c>
      <c r="I565" s="14">
        <v>0.2</v>
      </c>
      <c r="J565" s="14">
        <v>13.8</v>
      </c>
      <c r="K565" s="20">
        <f>'Индекс с Дивидендами'!$J565/'Индекс с Дивидендами'!$C565</f>
        <v>0.04630872483</v>
      </c>
    </row>
    <row r="566">
      <c r="A566" s="14">
        <v>2013.0</v>
      </c>
      <c r="B566" s="15" t="s">
        <v>43</v>
      </c>
      <c r="C566" s="14">
        <v>138.75</v>
      </c>
      <c r="D566" s="14">
        <v>6.993851428E9</v>
      </c>
      <c r="E566" s="18">
        <v>3.284699914875E12</v>
      </c>
      <c r="F566" s="14">
        <v>0.46</v>
      </c>
      <c r="G566" s="14">
        <v>0.6422378</v>
      </c>
      <c r="H566" s="18">
        <v>9.7039688561517E11</v>
      </c>
      <c r="I566" s="14">
        <v>14.28</v>
      </c>
      <c r="J566" s="14">
        <v>5.99</v>
      </c>
      <c r="K566" s="20">
        <f>'Индекс с Дивидендами'!$J566/'Индекс с Дивидендами'!$C566</f>
        <v>0.04317117117</v>
      </c>
    </row>
    <row r="567" hidden="1">
      <c r="A567" s="14">
        <v>2013.0</v>
      </c>
      <c r="B567" s="15" t="s">
        <v>69</v>
      </c>
      <c r="C567" s="14">
        <v>7.396</v>
      </c>
      <c r="D567" s="14">
        <v>1.5644062E9</v>
      </c>
      <c r="E567" s="18">
        <v>8.264534468E10</v>
      </c>
      <c r="F567" s="14">
        <v>0.14</v>
      </c>
      <c r="G567" s="14">
        <v>1.0</v>
      </c>
      <c r="H567" s="18">
        <v>1.15703482552E10</v>
      </c>
      <c r="I567" s="14">
        <v>0.17</v>
      </c>
      <c r="J567" s="14"/>
      <c r="K567" s="14">
        <f>'Индекс с Дивидендами'!$J567/'Индекс с Дивидендами'!$C567</f>
        <v>0</v>
      </c>
    </row>
    <row r="568" hidden="1">
      <c r="A568" s="14">
        <v>2013.0</v>
      </c>
      <c r="B568" s="15" t="s">
        <v>162</v>
      </c>
      <c r="C568" s="14">
        <v>1107.4</v>
      </c>
      <c r="D568" s="14">
        <v>9.3E7</v>
      </c>
      <c r="E568" s="18">
        <v>6.86588E11</v>
      </c>
      <c r="F568" s="14">
        <v>0.15</v>
      </c>
      <c r="G568" s="14">
        <v>1.0</v>
      </c>
      <c r="H568" s="18">
        <v>1.029882E11</v>
      </c>
      <c r="I568" s="14">
        <v>1.52</v>
      </c>
      <c r="J568" s="14"/>
      <c r="K568" s="14">
        <f>'Индекс с Дивидендами'!$J568/'Индекс с Дивидендами'!$C568</f>
        <v>0</v>
      </c>
    </row>
    <row r="569">
      <c r="A569" s="14">
        <v>2013.0</v>
      </c>
      <c r="B569" s="15" t="s">
        <v>136</v>
      </c>
      <c r="C569" s="14">
        <v>208.22</v>
      </c>
      <c r="D569" s="14">
        <v>6.97181024E8</v>
      </c>
      <c r="E569" s="18">
        <v>4.53646977554E11</v>
      </c>
      <c r="F569" s="14">
        <v>0.32</v>
      </c>
      <c r="G569" s="14">
        <v>1.0</v>
      </c>
      <c r="H569" s="18">
        <v>1.4516703281728E11</v>
      </c>
      <c r="I569" s="14">
        <v>2.14</v>
      </c>
      <c r="J569" s="14">
        <v>8.6</v>
      </c>
      <c r="K569" s="20">
        <f>'Индекс с Дивидендами'!$J569/'Индекс с Дивидендами'!$C569</f>
        <v>0.04130246854</v>
      </c>
    </row>
    <row r="570">
      <c r="A570" s="14">
        <v>2013.0</v>
      </c>
      <c r="B570" s="15" t="s">
        <v>94</v>
      </c>
      <c r="C570" s="14">
        <v>80.21</v>
      </c>
      <c r="D570" s="14">
        <v>8.711671E8</v>
      </c>
      <c r="E570" s="18">
        <v>8.021E10</v>
      </c>
      <c r="F570" s="14">
        <v>1.0</v>
      </c>
      <c r="G570" s="14">
        <v>0.8711671</v>
      </c>
      <c r="H570" s="18">
        <v>6.9876313091E10</v>
      </c>
      <c r="I570" s="14">
        <v>1.03</v>
      </c>
      <c r="J570" s="14">
        <v>3.2</v>
      </c>
      <c r="K570" s="20">
        <f>'Индекс с Дивидендами'!$J570/'Индекс с Дивидендами'!$C570</f>
        <v>0.0398952749</v>
      </c>
    </row>
    <row r="571" hidden="1">
      <c r="A571" s="14">
        <v>2013.0</v>
      </c>
      <c r="B571" s="15" t="s">
        <v>192</v>
      </c>
      <c r="C571" s="14">
        <v>0.777</v>
      </c>
      <c r="D571" s="14">
        <v>2.2551039463E10</v>
      </c>
      <c r="E571" s="18">
        <v>1.2515826902187E11</v>
      </c>
      <c r="F571" s="14">
        <v>0.14</v>
      </c>
      <c r="G571" s="14">
        <v>1.0</v>
      </c>
      <c r="H571" s="18">
        <v>1.752215766306E10</v>
      </c>
      <c r="I571" s="14">
        <v>0.26</v>
      </c>
      <c r="J571" s="14"/>
      <c r="K571" s="14">
        <f>'Индекс с Дивидендами'!$J571/'Индекс с Дивидендами'!$C571</f>
        <v>0</v>
      </c>
    </row>
    <row r="572">
      <c r="A572" s="14">
        <v>2013.0</v>
      </c>
      <c r="B572" s="15" t="s">
        <v>112</v>
      </c>
      <c r="C572" s="14">
        <v>950.0</v>
      </c>
      <c r="D572" s="14">
        <v>2.4605E7</v>
      </c>
      <c r="E572" s="18">
        <v>1.23025E11</v>
      </c>
      <c r="F572" s="14">
        <v>0.19</v>
      </c>
      <c r="G572" s="14">
        <v>1.0</v>
      </c>
      <c r="H572" s="18">
        <v>2.337475E10</v>
      </c>
      <c r="I572" s="14">
        <v>0.34</v>
      </c>
      <c r="J572" s="14">
        <v>35.35</v>
      </c>
      <c r="K572" s="20">
        <f>'Индекс с Дивидендами'!$J572/'Индекс с Дивидендами'!$C572</f>
        <v>0.03721052632</v>
      </c>
    </row>
    <row r="573">
      <c r="A573" s="14">
        <v>2013.0</v>
      </c>
      <c r="B573" s="15" t="s">
        <v>155</v>
      </c>
      <c r="C573" s="14">
        <v>7560.0</v>
      </c>
      <c r="D573" s="14">
        <v>3343566.0</v>
      </c>
      <c r="E573" s="18">
        <v>8.716330728E10</v>
      </c>
      <c r="F573" s="14">
        <v>0.29</v>
      </c>
      <c r="G573" s="14">
        <v>1.0</v>
      </c>
      <c r="H573" s="18">
        <v>2.52773591112E10</v>
      </c>
      <c r="I573" s="14">
        <v>0.37</v>
      </c>
      <c r="J573" s="14">
        <v>279.83</v>
      </c>
      <c r="K573" s="20">
        <f>'Индекс с Дивидендами'!$J573/'Индекс с Дивидендами'!$C573</f>
        <v>0.03701455026</v>
      </c>
    </row>
    <row r="574" hidden="1">
      <c r="A574" s="14">
        <v>2013.0</v>
      </c>
      <c r="B574" s="15" t="s">
        <v>71</v>
      </c>
      <c r="C574" s="14">
        <v>66.5</v>
      </c>
      <c r="D574" s="14">
        <v>1.45694761E8</v>
      </c>
      <c r="E574" s="18">
        <v>2.76820045425E10</v>
      </c>
      <c r="F574" s="14">
        <v>0.35</v>
      </c>
      <c r="G574" s="14">
        <v>1.0</v>
      </c>
      <c r="H574" s="18">
        <v>9.68870158988E9</v>
      </c>
      <c r="I574" s="14">
        <v>0.14</v>
      </c>
      <c r="J574" s="14"/>
      <c r="K574" s="14">
        <f>'Индекс с Дивидендами'!$J574/'Индекс с Дивидендами'!$C574</f>
        <v>0</v>
      </c>
    </row>
    <row r="575">
      <c r="A575" s="14">
        <v>2013.0</v>
      </c>
      <c r="B575" s="15" t="s">
        <v>49</v>
      </c>
      <c r="C575" s="14">
        <v>610.8</v>
      </c>
      <c r="D575" s="14">
        <v>3.3999971E7</v>
      </c>
      <c r="E575" s="18">
        <v>6.2930855322E10</v>
      </c>
      <c r="F575" s="14">
        <v>0.33</v>
      </c>
      <c r="G575" s="14">
        <v>1.0</v>
      </c>
      <c r="H575" s="18">
        <v>2.076718225626E10</v>
      </c>
      <c r="I575" s="14">
        <v>0.31</v>
      </c>
      <c r="J575" s="14">
        <v>20.0</v>
      </c>
      <c r="K575" s="20">
        <f>'Индекс с Дивидендами'!$J575/'Индекс с Дивидендами'!$C575</f>
        <v>0.03274394237</v>
      </c>
    </row>
    <row r="576">
      <c r="A576" s="14">
        <v>2013.0</v>
      </c>
      <c r="B576" s="15" t="s">
        <v>132</v>
      </c>
      <c r="C576" s="14">
        <v>251.6</v>
      </c>
      <c r="D576" s="14">
        <v>1.271781338E9</v>
      </c>
      <c r="E576" s="18">
        <v>2.6665015387572E12</v>
      </c>
      <c r="F576" s="14">
        <v>0.12</v>
      </c>
      <c r="G576" s="14">
        <v>1.0</v>
      </c>
      <c r="H576" s="18">
        <v>3.1998018465086E11</v>
      </c>
      <c r="I576" s="14">
        <v>4.71</v>
      </c>
      <c r="J576" s="14">
        <v>8.05</v>
      </c>
      <c r="K576" s="20">
        <f>'Индекс с Дивидендами'!$J576/'Индекс с Дивидендами'!$C576</f>
        <v>0.03199523052</v>
      </c>
    </row>
    <row r="577">
      <c r="A577" s="14">
        <v>2013.0</v>
      </c>
      <c r="B577" s="15" t="s">
        <v>7</v>
      </c>
      <c r="C577" s="14">
        <v>35.67</v>
      </c>
      <c r="D577" s="14">
        <v>1.693942095E9</v>
      </c>
      <c r="E577" s="18">
        <v>2.627083240221E11</v>
      </c>
      <c r="F577" s="14">
        <v>0.23</v>
      </c>
      <c r="G577" s="14">
        <v>1.0</v>
      </c>
      <c r="H577" s="18">
        <v>6.042291452508E10</v>
      </c>
      <c r="I577" s="14">
        <v>0.89</v>
      </c>
      <c r="J577" s="14">
        <v>1.11</v>
      </c>
      <c r="K577" s="20">
        <f>'Индекс с Дивидендами'!$J577/'Индекс с Дивидендами'!$C577</f>
        <v>0.03111858705</v>
      </c>
    </row>
    <row r="578">
      <c r="A578" s="14">
        <v>2013.0</v>
      </c>
      <c r="B578" s="15" t="s">
        <v>9</v>
      </c>
      <c r="C578" s="14">
        <f>0.0497*5000</f>
        <v>248.5</v>
      </c>
      <c r="D578" s="19">
        <v>5.054611121562E12</v>
      </c>
      <c r="E578" s="18">
        <v>6.4362048281221E11</v>
      </c>
      <c r="F578" s="14">
        <v>0.39</v>
      </c>
      <c r="G578" s="14">
        <v>1.0</v>
      </c>
      <c r="H578" s="18">
        <v>2.5101198829676E11</v>
      </c>
      <c r="I578" s="14">
        <v>3.69</v>
      </c>
      <c r="J578" s="14">
        <f>0.00143*5000</f>
        <v>7.15</v>
      </c>
      <c r="K578" s="20">
        <f>'Индекс с Дивидендами'!$J578/'Индекс с Дивидендами'!$C578</f>
        <v>0.02877263581</v>
      </c>
    </row>
    <row r="579">
      <c r="A579" s="14">
        <v>2013.0</v>
      </c>
      <c r="B579" s="15" t="s">
        <v>93</v>
      </c>
      <c r="C579" s="14">
        <v>101.17</v>
      </c>
      <c r="D579" s="14">
        <v>9.026802666E9</v>
      </c>
      <c r="E579" s="18">
        <v>2.18395152916E12</v>
      </c>
      <c r="F579" s="14">
        <v>0.48</v>
      </c>
      <c r="G579" s="14">
        <v>0.8711671</v>
      </c>
      <c r="H579" s="18">
        <v>9.1324162569547E11</v>
      </c>
      <c r="I579" s="14">
        <v>13.44</v>
      </c>
      <c r="J579" s="14">
        <v>2.57</v>
      </c>
      <c r="K579" s="20">
        <f>'Индекс с Дивидендами'!$J579/'Индекс с Дивидендами'!$C579</f>
        <v>0.02540278739</v>
      </c>
    </row>
    <row r="580">
      <c r="A580" s="14">
        <v>2013.0</v>
      </c>
      <c r="B580" s="15" t="s">
        <v>90</v>
      </c>
      <c r="C580" s="14">
        <v>110.98</v>
      </c>
      <c r="D580" s="14">
        <v>8.27453333E8</v>
      </c>
      <c r="E580" s="18">
        <v>2.9622829332498E11</v>
      </c>
      <c r="F580" s="14">
        <v>0.31</v>
      </c>
      <c r="G580" s="14">
        <v>1.0</v>
      </c>
      <c r="H580" s="18">
        <v>9.183077093074E10</v>
      </c>
      <c r="I580" s="14">
        <v>1.35</v>
      </c>
      <c r="J580" s="14">
        <v>2.4369</v>
      </c>
      <c r="K580" s="20">
        <f>'Индекс с Дивидендами'!$J580/'Индекс с Дивидендами'!$C580</f>
        <v>0.02195801045</v>
      </c>
    </row>
    <row r="581">
      <c r="A581" s="14">
        <v>2013.0</v>
      </c>
      <c r="B581" s="15" t="s">
        <v>37</v>
      </c>
      <c r="C581" s="14">
        <v>44.8</v>
      </c>
      <c r="D581" s="14">
        <v>3.474E9</v>
      </c>
      <c r="E581" s="18">
        <v>4.3232E11</v>
      </c>
      <c r="F581" s="14">
        <v>0.36</v>
      </c>
      <c r="G581" s="14">
        <v>1.0</v>
      </c>
      <c r="H581" s="18">
        <v>1.556352E11</v>
      </c>
      <c r="I581" s="14">
        <v>2.29</v>
      </c>
      <c r="J581" s="14">
        <v>0.96</v>
      </c>
      <c r="K581" s="20">
        <f>'Индекс с Дивидендами'!$J581/'Индекс с Дивидендами'!$C581</f>
        <v>0.02142857143</v>
      </c>
    </row>
    <row r="582" hidden="1">
      <c r="A582" s="14">
        <v>2013.0</v>
      </c>
      <c r="B582" s="15" t="s">
        <v>86</v>
      </c>
      <c r="C582" s="14">
        <v>70.5</v>
      </c>
      <c r="D582" s="14">
        <v>2.77408884E8</v>
      </c>
      <c r="E582" s="18">
        <v>4.6565062752E10</v>
      </c>
      <c r="F582" s="14">
        <v>0.42</v>
      </c>
      <c r="G582" s="14">
        <v>1.0</v>
      </c>
      <c r="H582" s="18">
        <v>1.955732635584E10</v>
      </c>
      <c r="I582" s="14">
        <v>0.29</v>
      </c>
      <c r="J582" s="14"/>
      <c r="K582" s="14">
        <f>'Индекс с Дивидендами'!$J582/'Индекс с Дивидендами'!$C582</f>
        <v>0</v>
      </c>
    </row>
    <row r="583">
      <c r="A583" s="14">
        <v>2013.0</v>
      </c>
      <c r="B583" s="15" t="s">
        <v>159</v>
      </c>
      <c r="C583" s="14">
        <v>93.83</v>
      </c>
      <c r="D583" s="14">
        <v>2.62524106E8</v>
      </c>
      <c r="E583" s="18">
        <v>8.797370320002E10</v>
      </c>
      <c r="F583" s="14">
        <v>0.28</v>
      </c>
      <c r="G583" s="14">
        <v>1.0</v>
      </c>
      <c r="H583" s="18">
        <v>2.463263689601E10</v>
      </c>
      <c r="I583" s="14">
        <v>0.36</v>
      </c>
      <c r="J583" s="14">
        <v>1.88</v>
      </c>
      <c r="K583" s="20">
        <f>'Индекс с Дивидендами'!$J583/'Индекс с Дивидендами'!$C583</f>
        <v>0.02003623575</v>
      </c>
    </row>
    <row r="584">
      <c r="A584" s="14">
        <v>2013.0</v>
      </c>
      <c r="B584" s="15" t="s">
        <v>96</v>
      </c>
      <c r="C584" s="14">
        <v>319.5</v>
      </c>
      <c r="D584" s="14">
        <v>1.75920919E8</v>
      </c>
      <c r="E584" s="18">
        <v>2.6765111187E11</v>
      </c>
      <c r="F584" s="14">
        <v>0.21</v>
      </c>
      <c r="G584" s="14">
        <v>1.0</v>
      </c>
      <c r="H584" s="18">
        <v>5.62067334927E10</v>
      </c>
      <c r="I584" s="14">
        <v>0.83</v>
      </c>
      <c r="J584" s="14">
        <v>6.36</v>
      </c>
      <c r="K584" s="20">
        <f>'Индекс с Дивидендами'!$J584/'Индекс с Дивидендами'!$C584</f>
        <v>0.01990610329</v>
      </c>
    </row>
    <row r="585">
      <c r="A585" s="14">
        <v>2013.0</v>
      </c>
      <c r="B585" s="15" t="s">
        <v>76</v>
      </c>
      <c r="C585" s="14">
        <v>65.0</v>
      </c>
      <c r="D585" s="14">
        <v>8.80040987E8</v>
      </c>
      <c r="E585" s="18">
        <v>1.54601794945E11</v>
      </c>
      <c r="F585" s="14">
        <v>0.37</v>
      </c>
      <c r="G585" s="14">
        <v>1.0</v>
      </c>
      <c r="H585" s="18">
        <v>5.720266412965E10</v>
      </c>
      <c r="I585" s="14">
        <v>0.84</v>
      </c>
      <c r="J585" s="14">
        <v>1.22</v>
      </c>
      <c r="K585" s="20">
        <f>'Индекс с Дивидендами'!$J585/'Индекс с Дивидендами'!$C585</f>
        <v>0.01876923077</v>
      </c>
    </row>
    <row r="586">
      <c r="A586" s="14">
        <v>2013.0</v>
      </c>
      <c r="B586" s="15" t="s">
        <v>130</v>
      </c>
      <c r="C586" s="14">
        <v>399.01</v>
      </c>
      <c r="D586" s="14">
        <v>8.1980262E8</v>
      </c>
      <c r="E586" s="18">
        <v>1.21151645706E12</v>
      </c>
      <c r="F586" s="14">
        <v>0.27</v>
      </c>
      <c r="G586" s="14">
        <v>1.0</v>
      </c>
      <c r="H586" s="18">
        <v>3.271094434062E11</v>
      </c>
      <c r="I586" s="14">
        <v>4.81</v>
      </c>
      <c r="J586" s="14">
        <v>7.26</v>
      </c>
      <c r="K586" s="20">
        <f>'Индекс с Дивидендами'!$J586/'Индекс с Дивидендами'!$C586</f>
        <v>0.01819503271</v>
      </c>
    </row>
    <row r="587" hidden="1">
      <c r="A587" s="14">
        <v>2013.0</v>
      </c>
      <c r="B587" s="15" t="s">
        <v>193</v>
      </c>
      <c r="C587" s="14">
        <v>95.16</v>
      </c>
      <c r="D587" s="14">
        <v>1.6E8</v>
      </c>
      <c r="E587" s="18">
        <v>1.9032E11</v>
      </c>
      <c r="F587" s="14">
        <v>0.08</v>
      </c>
      <c r="G587" s="14">
        <v>1.0</v>
      </c>
      <c r="H587" s="18">
        <v>1.52256E10</v>
      </c>
      <c r="I587" s="14">
        <v>0.22</v>
      </c>
      <c r="J587" s="14"/>
      <c r="K587" s="14">
        <f>'Индекс с Дивидендами'!$J587/'Индекс с Дивидендами'!$C587</f>
        <v>0</v>
      </c>
    </row>
    <row r="588">
      <c r="A588" s="14">
        <v>2013.0</v>
      </c>
      <c r="B588" s="15" t="s">
        <v>141</v>
      </c>
      <c r="C588" s="14">
        <v>28.364</v>
      </c>
      <c r="D588" s="14">
        <v>8.112950044E9</v>
      </c>
      <c r="E588" s="18">
        <v>1.01333211381262E12</v>
      </c>
      <c r="F588" s="14">
        <v>0.25</v>
      </c>
      <c r="G588" s="14">
        <v>0.9083526</v>
      </c>
      <c r="H588" s="18">
        <v>2.301157150613E11</v>
      </c>
      <c r="I588" s="14">
        <v>3.39</v>
      </c>
      <c r="J588" s="14">
        <v>0.5</v>
      </c>
      <c r="K588" s="20">
        <f>'Индекс с Дивидендами'!$J588/'Индекс с Дивидендами'!$C588</f>
        <v>0.01762797913</v>
      </c>
    </row>
    <row r="589">
      <c r="A589" s="14">
        <v>2013.0</v>
      </c>
      <c r="B589" s="15" t="s">
        <v>106</v>
      </c>
      <c r="C589" s="14">
        <v>0.5675</v>
      </c>
      <c r="D589" s="14">
        <v>1.07996756832E11</v>
      </c>
      <c r="E589" s="18">
        <v>1.8025929265334E11</v>
      </c>
      <c r="F589" s="14">
        <v>0.34</v>
      </c>
      <c r="G589" s="14">
        <v>1.0</v>
      </c>
      <c r="H589" s="18">
        <v>6.128815950214E10</v>
      </c>
      <c r="I589" s="14">
        <v>0.9</v>
      </c>
      <c r="J589" s="14">
        <v>0.00955606</v>
      </c>
      <c r="K589" s="20">
        <f>'Индекс с Дивидендами'!$J589/'Индекс с Дивидендами'!$C589</f>
        <v>0.01683887225</v>
      </c>
    </row>
    <row r="590">
      <c r="A590" s="14">
        <v>2013.0</v>
      </c>
      <c r="B590" s="15" t="s">
        <v>39</v>
      </c>
      <c r="C590" s="14">
        <v>83.7</v>
      </c>
      <c r="D590" s="14">
        <v>3.55397216E8</v>
      </c>
      <c r="E590" s="18">
        <v>9.29585842263E10</v>
      </c>
      <c r="F590" s="14">
        <v>0.32</v>
      </c>
      <c r="G590" s="14">
        <v>1.0</v>
      </c>
      <c r="H590" s="18">
        <v>2.974674695242E10</v>
      </c>
      <c r="I590" s="14">
        <v>0.44</v>
      </c>
      <c r="J590" s="14">
        <v>1.1636</v>
      </c>
      <c r="K590" s="20">
        <f>'Индекс с Дивидендами'!$J590/'Индекс с Дивидендами'!$C590</f>
        <v>0.01390203106</v>
      </c>
    </row>
    <row r="591">
      <c r="A591" s="14">
        <v>2013.0</v>
      </c>
      <c r="B591" s="15" t="s">
        <v>156</v>
      </c>
      <c r="C591" s="14">
        <v>51.72</v>
      </c>
      <c r="D591" s="14">
        <v>1.06084434E8</v>
      </c>
      <c r="E591" s="18">
        <v>3.657791279148E10</v>
      </c>
      <c r="F591" s="14">
        <v>0.15</v>
      </c>
      <c r="G591" s="14">
        <v>1.0</v>
      </c>
      <c r="H591" s="18">
        <v>5.48668691872E9</v>
      </c>
      <c r="I591" s="14">
        <v>0.08</v>
      </c>
      <c r="J591" s="14">
        <v>0.69</v>
      </c>
      <c r="K591" s="20">
        <f>'Индекс с Дивидендами'!$J591/'Индекс с Дивидендами'!$C591</f>
        <v>0.01334106729</v>
      </c>
    </row>
    <row r="592">
      <c r="A592" s="14">
        <v>2013.0</v>
      </c>
      <c r="B592" s="15" t="s">
        <v>160</v>
      </c>
      <c r="C592" s="14">
        <v>172.0</v>
      </c>
      <c r="D592" s="14">
        <v>1.233126674E9</v>
      </c>
      <c r="E592" s="18">
        <v>5.04994733252E11</v>
      </c>
      <c r="F592" s="14">
        <v>0.42</v>
      </c>
      <c r="G592" s="14">
        <v>1.0</v>
      </c>
      <c r="H592" s="18">
        <v>2.1209778796584E11</v>
      </c>
      <c r="I592" s="14">
        <v>3.12</v>
      </c>
      <c r="J592" s="14">
        <v>2.21</v>
      </c>
      <c r="K592" s="20">
        <f>'Индекс с Дивидендами'!$J592/'Индекс с Дивидендами'!$C592</f>
        <v>0.01284883721</v>
      </c>
    </row>
    <row r="593">
      <c r="A593" s="14">
        <v>2013.0</v>
      </c>
      <c r="B593" s="15" t="s">
        <v>82</v>
      </c>
      <c r="C593" s="14">
        <v>55.18</v>
      </c>
      <c r="D593" s="14">
        <v>8.39051814E8</v>
      </c>
      <c r="E593" s="18">
        <v>3.307062791032E11</v>
      </c>
      <c r="F593" s="14">
        <v>0.14</v>
      </c>
      <c r="G593" s="14">
        <v>1.0</v>
      </c>
      <c r="H593" s="18">
        <v>4.629887907445E10</v>
      </c>
      <c r="I593" s="14">
        <v>0.68</v>
      </c>
      <c r="J593" s="14">
        <v>0.62</v>
      </c>
      <c r="K593" s="20">
        <f>'Индекс с Дивидендами'!$J593/'Индекс с Дивидендами'!$C593</f>
        <v>0.01123595506</v>
      </c>
    </row>
    <row r="594">
      <c r="A594" s="14">
        <v>2013.0</v>
      </c>
      <c r="B594" s="15" t="s">
        <v>147</v>
      </c>
      <c r="C594" s="14">
        <v>9240.0</v>
      </c>
      <c r="D594" s="14">
        <v>4.6383328E7</v>
      </c>
      <c r="E594" s="18">
        <v>8.737469202E11</v>
      </c>
      <c r="F594" s="14">
        <v>0.54</v>
      </c>
      <c r="G594" s="14">
        <v>0.9083526</v>
      </c>
      <c r="H594" s="18">
        <v>4.2858195482071E11</v>
      </c>
      <c r="I594" s="14">
        <v>6.31</v>
      </c>
      <c r="J594" s="14">
        <v>101.08</v>
      </c>
      <c r="K594" s="20">
        <f>'Индекс с Дивидендами'!$J594/'Индекс с Дивидендами'!$C594</f>
        <v>0.01093939394</v>
      </c>
    </row>
    <row r="595">
      <c r="A595" s="14">
        <v>2013.0</v>
      </c>
      <c r="B595" s="15" t="s">
        <v>153</v>
      </c>
      <c r="C595" s="14">
        <v>2.83</v>
      </c>
      <c r="D595" s="14">
        <v>2.88897231E9</v>
      </c>
      <c r="E595" s="18">
        <v>5.4505277582E10</v>
      </c>
      <c r="F595" s="14">
        <v>0.15</v>
      </c>
      <c r="G595" s="14">
        <v>1.0</v>
      </c>
      <c r="H595" s="18">
        <v>8.1757916373E9</v>
      </c>
      <c r="I595" s="14">
        <v>0.12</v>
      </c>
      <c r="J595" s="14">
        <v>0.02362</v>
      </c>
      <c r="K595" s="20">
        <f>'Индекс с Дивидендами'!$J595/'Индекс с Дивидендами'!$C595</f>
        <v>0.008346289753</v>
      </c>
    </row>
    <row r="596">
      <c r="A596" s="14">
        <v>2013.0</v>
      </c>
      <c r="B596" s="15" t="s">
        <v>104</v>
      </c>
      <c r="C596" s="14">
        <f>85900/100</f>
        <v>859</v>
      </c>
      <c r="D596" s="14">
        <v>1554875.0</v>
      </c>
      <c r="E596" s="18">
        <v>1.335637625E11</v>
      </c>
      <c r="F596" s="14">
        <v>1.0</v>
      </c>
      <c r="G596" s="14">
        <v>1.0</v>
      </c>
      <c r="H596" s="18">
        <v>1.335637625E11</v>
      </c>
      <c r="I596" s="14">
        <v>1.97</v>
      </c>
      <c r="J596" s="14">
        <f>685.1/100</f>
        <v>6.851</v>
      </c>
      <c r="K596" s="20">
        <f>'Индекс с Дивидендами'!$J596/'Индекс с Дивидендами'!$C596</f>
        <v>0.007975552969</v>
      </c>
    </row>
    <row r="597">
      <c r="A597" s="14">
        <v>2013.0</v>
      </c>
      <c r="B597" s="15" t="s">
        <v>33</v>
      </c>
      <c r="C597" s="14">
        <v>42.0</v>
      </c>
      <c r="D597" s="14">
        <v>1.8021714E8</v>
      </c>
      <c r="E597" s="18">
        <v>1.8461268E10</v>
      </c>
      <c r="F597" s="14">
        <v>0.41</v>
      </c>
      <c r="G597" s="14">
        <v>1.0</v>
      </c>
      <c r="H597" s="18">
        <v>7.56911988E9</v>
      </c>
      <c r="I597" s="14">
        <v>0.11</v>
      </c>
      <c r="J597" s="14">
        <v>0.11</v>
      </c>
      <c r="K597" s="20">
        <f>'Индекс с Дивидендами'!$J597/'Индекс с Дивидендами'!$C597</f>
        <v>0.002619047619</v>
      </c>
    </row>
    <row r="598">
      <c r="A598" s="14">
        <v>2013.0</v>
      </c>
      <c r="B598" s="15" t="s">
        <v>72</v>
      </c>
      <c r="C598" s="14">
        <v>35.59</v>
      </c>
      <c r="D598" s="14">
        <v>8.3254149E7</v>
      </c>
      <c r="E598" s="18">
        <v>4.93835860485E9</v>
      </c>
      <c r="F598" s="14">
        <v>0.6</v>
      </c>
      <c r="G598" s="14">
        <v>1.0</v>
      </c>
      <c r="H598" s="18">
        <v>2.96301516291E9</v>
      </c>
      <c r="I598" s="14">
        <v>0.04</v>
      </c>
      <c r="J598" s="14">
        <v>0.05</v>
      </c>
      <c r="K598" s="20">
        <f>'Индекс с Дивидендами'!$J598/'Индекс с Дивидендами'!$C598</f>
        <v>0.001404889014</v>
      </c>
    </row>
    <row r="599">
      <c r="A599" s="14">
        <v>2013.0</v>
      </c>
      <c r="B599" s="15" t="s">
        <v>157</v>
      </c>
      <c r="C599" s="14">
        <v>309.26</v>
      </c>
      <c r="D599" s="14">
        <v>1.94736433E8</v>
      </c>
      <c r="E599" s="18">
        <v>1.204483782299E11</v>
      </c>
      <c r="F599" s="14">
        <v>0.5</v>
      </c>
      <c r="G599" s="14">
        <v>1.0</v>
      </c>
      <c r="H599" s="18">
        <v>6.022418911495E10</v>
      </c>
      <c r="I599" s="14">
        <v>0.89</v>
      </c>
      <c r="J599" s="14">
        <v>0.3318</v>
      </c>
      <c r="K599" s="20">
        <f>'Индекс с Дивидендами'!$J599/'Индекс с Дивидендами'!$C599</f>
        <v>0.001072883658</v>
      </c>
    </row>
    <row r="600">
      <c r="A600" s="14">
        <v>2012.0</v>
      </c>
      <c r="B600" s="15" t="s">
        <v>72</v>
      </c>
      <c r="C600" s="14">
        <v>119.04</v>
      </c>
      <c r="D600" s="14">
        <v>1.24881223E8</v>
      </c>
      <c r="E600" s="18">
        <v>1.65176231616E10</v>
      </c>
      <c r="F600" s="14">
        <v>0.9</v>
      </c>
      <c r="G600" s="14">
        <v>1.0</v>
      </c>
      <c r="H600" s="18">
        <v>1.486586078592E10</v>
      </c>
      <c r="I600" s="14">
        <v>0.31</v>
      </c>
      <c r="J600" s="14">
        <v>31.28</v>
      </c>
      <c r="K600" s="20">
        <f>'Индекс с Дивидендами'!$J600/'Индекс с Дивидендами'!$C600</f>
        <v>0.2627688172</v>
      </c>
    </row>
    <row r="601">
      <c r="A601" s="14">
        <v>2012.0</v>
      </c>
      <c r="B601" s="15" t="s">
        <v>65</v>
      </c>
      <c r="C601" s="14">
        <v>242.38</v>
      </c>
      <c r="D601" s="14">
        <v>4.6739739E7</v>
      </c>
      <c r="E601" s="18">
        <v>4.357222286026E10</v>
      </c>
      <c r="F601" s="14">
        <v>0.26</v>
      </c>
      <c r="G601" s="14">
        <v>1.0</v>
      </c>
      <c r="H601" s="18">
        <v>1.132877793882E10</v>
      </c>
      <c r="I601" s="14">
        <v>0.24</v>
      </c>
      <c r="J601" s="14">
        <v>35.8</v>
      </c>
      <c r="K601" s="20">
        <f>'Индекс с Дивидендами'!$J601/'Индекс с Дивидендами'!$C601</f>
        <v>0.1477019556</v>
      </c>
    </row>
    <row r="602">
      <c r="A602" s="14">
        <v>2012.0</v>
      </c>
      <c r="B602" s="15" t="s">
        <v>142</v>
      </c>
      <c r="C602" s="14">
        <v>19.948</v>
      </c>
      <c r="D602" s="14">
        <v>3.849135233E9</v>
      </c>
      <c r="E602" s="18">
        <v>1.5363946079178E11</v>
      </c>
      <c r="F602" s="14">
        <v>0.73</v>
      </c>
      <c r="G602" s="14">
        <v>0.6846</v>
      </c>
      <c r="H602" s="18">
        <v>7.678254962788E10</v>
      </c>
      <c r="I602" s="14">
        <v>1.6</v>
      </c>
      <c r="J602" s="14">
        <v>2.15</v>
      </c>
      <c r="K602" s="20">
        <f>'Индекс с Дивидендами'!$J602/'Индекс с Дивидендами'!$C602</f>
        <v>0.1077802286</v>
      </c>
    </row>
    <row r="603" hidden="1">
      <c r="A603" s="14">
        <v>2012.0</v>
      </c>
      <c r="B603" s="15" t="s">
        <v>7</v>
      </c>
      <c r="C603" s="14">
        <v>30.0</v>
      </c>
      <c r="D603" s="14">
        <v>6.62846906E8</v>
      </c>
      <c r="E603" s="18">
        <v>2.209489688E11</v>
      </c>
      <c r="F603" s="14">
        <v>0.09</v>
      </c>
      <c r="G603" s="14">
        <v>1.0</v>
      </c>
      <c r="H603" s="18">
        <v>1.988540718E10</v>
      </c>
      <c r="I603" s="14">
        <v>0.41</v>
      </c>
      <c r="J603" s="14"/>
      <c r="K603" s="14">
        <f>'Индекс с Дивидендами'!$J603/'Индекс с Дивидендами'!$C603</f>
        <v>0</v>
      </c>
    </row>
    <row r="604">
      <c r="A604" s="14">
        <v>2012.0</v>
      </c>
      <c r="B604" s="15" t="s">
        <v>112</v>
      </c>
      <c r="C604" s="14">
        <v>1246.1</v>
      </c>
      <c r="D604" s="14">
        <v>1.2447708E7</v>
      </c>
      <c r="E604" s="18">
        <v>1.55110889388E11</v>
      </c>
      <c r="F604" s="14">
        <v>0.1</v>
      </c>
      <c r="G604" s="14">
        <v>1.0</v>
      </c>
      <c r="H604" s="18">
        <v>1.55110889388E10</v>
      </c>
      <c r="I604" s="14">
        <v>0.32</v>
      </c>
      <c r="J604" s="14">
        <v>95.5</v>
      </c>
      <c r="K604" s="20">
        <f>'Индекс с Дивидендами'!$J604/'Индекс с Дивидендами'!$C604</f>
        <v>0.07663911404</v>
      </c>
    </row>
    <row r="605">
      <c r="A605" s="14">
        <v>2012.0</v>
      </c>
      <c r="B605" s="15" t="s">
        <v>150</v>
      </c>
      <c r="C605" s="14">
        <v>1332.1</v>
      </c>
      <c r="D605" s="14">
        <v>3.4622686E7</v>
      </c>
      <c r="E605" s="18">
        <v>4.61208800206E10</v>
      </c>
      <c r="F605" s="14">
        <v>1.0</v>
      </c>
      <c r="G605" s="14">
        <v>1.0</v>
      </c>
      <c r="H605" s="18">
        <v>4.61208800206E10</v>
      </c>
      <c r="I605" s="14">
        <v>0.96</v>
      </c>
      <c r="J605" s="14">
        <v>99.0</v>
      </c>
      <c r="K605" s="20">
        <f>'Индекс с Дивидендами'!$J605/'Индекс с Дивидендами'!$C605</f>
        <v>0.07431874484</v>
      </c>
    </row>
    <row r="606">
      <c r="A606" s="14">
        <v>2012.0</v>
      </c>
      <c r="B606" s="15" t="s">
        <v>137</v>
      </c>
      <c r="C606" s="14">
        <v>106.07</v>
      </c>
      <c r="D606" s="14">
        <v>1.475085E8</v>
      </c>
      <c r="E606" s="18">
        <v>1.5646226595E10</v>
      </c>
      <c r="F606" s="14">
        <v>1.0</v>
      </c>
      <c r="G606" s="14">
        <v>1.0</v>
      </c>
      <c r="H606" s="18">
        <v>1.5646226595E10</v>
      </c>
      <c r="I606" s="14">
        <v>0.33</v>
      </c>
      <c r="J606" s="14">
        <v>7.08</v>
      </c>
      <c r="K606" s="20">
        <f>'Индекс с Дивидендами'!$J606/'Индекс с Дивидендами'!$C606</f>
        <v>0.06674837372</v>
      </c>
    </row>
    <row r="607" hidden="1">
      <c r="A607" s="14">
        <v>2012.0</v>
      </c>
      <c r="B607" s="15" t="s">
        <v>188</v>
      </c>
      <c r="C607" s="14">
        <v>400.14</v>
      </c>
      <c r="D607" s="14">
        <v>4.11675E7</v>
      </c>
      <c r="E607" s="18">
        <v>4.9917465E10</v>
      </c>
      <c r="F607" s="14">
        <v>0.33</v>
      </c>
      <c r="G607" s="14">
        <v>1.0</v>
      </c>
      <c r="H607" s="18">
        <v>1.647276345E10</v>
      </c>
      <c r="I607" s="14">
        <v>0.34</v>
      </c>
      <c r="J607" s="14"/>
      <c r="K607" s="14">
        <f>'Индекс с Дивидендами'!$J607/'Индекс с Дивидендами'!$C607</f>
        <v>0</v>
      </c>
    </row>
    <row r="608" hidden="1">
      <c r="A608" s="14">
        <v>2012.0</v>
      </c>
      <c r="B608" s="15" t="s">
        <v>189</v>
      </c>
      <c r="C608" s="14">
        <v>2.6165</v>
      </c>
      <c r="D608" s="14">
        <v>1.1348767106E10</v>
      </c>
      <c r="E608" s="18">
        <v>1.6496693962839E11</v>
      </c>
      <c r="F608" s="14">
        <v>0.18</v>
      </c>
      <c r="G608" s="14">
        <v>1.0</v>
      </c>
      <c r="H608" s="18">
        <v>2.969404913285E10</v>
      </c>
      <c r="I608" s="14">
        <v>0.62</v>
      </c>
      <c r="J608" s="14"/>
      <c r="K608" s="14">
        <f>'Индекс с Дивидендами'!$J608/'Индекс с Дивидендами'!$C608</f>
        <v>0</v>
      </c>
    </row>
    <row r="609" hidden="1">
      <c r="A609" s="14">
        <v>2012.0</v>
      </c>
      <c r="B609" s="15" t="s">
        <v>108</v>
      </c>
      <c r="C609" s="14">
        <v>0.2015</v>
      </c>
      <c r="D609" s="14">
        <v>2.64681198335E11</v>
      </c>
      <c r="E609" s="18">
        <v>2.5401832720246E11</v>
      </c>
      <c r="F609" s="14">
        <v>0.21</v>
      </c>
      <c r="G609" s="14">
        <v>1.0</v>
      </c>
      <c r="H609" s="18">
        <v>5.334384871244E10</v>
      </c>
      <c r="I609" s="14">
        <v>1.11</v>
      </c>
      <c r="J609" s="14"/>
      <c r="K609" s="14">
        <f>'Индекс с Дивидендами'!$J609/'Индекс с Дивидендами'!$C609</f>
        <v>0</v>
      </c>
    </row>
    <row r="610">
      <c r="A610" s="14">
        <v>2012.0</v>
      </c>
      <c r="B610" s="15" t="s">
        <v>43</v>
      </c>
      <c r="C610" s="14">
        <v>143.7</v>
      </c>
      <c r="D610" s="14">
        <v>4.976645881E9</v>
      </c>
      <c r="E610" s="18">
        <v>3.40188380373E12</v>
      </c>
      <c r="F610" s="14">
        <v>0.46</v>
      </c>
      <c r="G610" s="14">
        <v>0.457</v>
      </c>
      <c r="H610" s="18">
        <v>7.1514401313285E11</v>
      </c>
      <c r="I610" s="14">
        <v>14.9</v>
      </c>
      <c r="J610" s="14">
        <v>8.97</v>
      </c>
      <c r="K610" s="20">
        <f>'Индекс с Дивидендами'!$J610/'Индекс с Дивидендами'!$C610</f>
        <v>0.0624217119</v>
      </c>
    </row>
    <row r="611">
      <c r="A611" s="14">
        <v>2012.0</v>
      </c>
      <c r="B611" s="15" t="s">
        <v>74</v>
      </c>
      <c r="C611" s="14">
        <v>245.55</v>
      </c>
      <c r="D611" s="14">
        <v>2.47969627E8</v>
      </c>
      <c r="E611" s="18">
        <v>5.074078501491E11</v>
      </c>
      <c r="F611" s="14">
        <v>0.12</v>
      </c>
      <c r="G611" s="14">
        <v>1.0</v>
      </c>
      <c r="H611" s="18">
        <v>6.088894190985E10</v>
      </c>
      <c r="I611" s="14">
        <v>1.27</v>
      </c>
      <c r="J611" s="14">
        <v>14.71</v>
      </c>
      <c r="K611" s="20">
        <f>'Индекс с Дивидендами'!$J611/'Индекс с Дивидендами'!$C611</f>
        <v>0.05990633272</v>
      </c>
    </row>
    <row r="612">
      <c r="A612" s="14">
        <v>2012.0</v>
      </c>
      <c r="B612" s="15" t="s">
        <v>78</v>
      </c>
      <c r="C612" s="14">
        <v>2001.1</v>
      </c>
      <c r="D612" s="14">
        <v>3.31908494E8</v>
      </c>
      <c r="E612" s="18">
        <v>1.7020621295805E12</v>
      </c>
      <c r="F612" s="14">
        <v>0.57</v>
      </c>
      <c r="G612" s="14">
        <v>0.6846</v>
      </c>
      <c r="H612" s="18">
        <v>6.641820873434E11</v>
      </c>
      <c r="I612" s="14">
        <v>13.84</v>
      </c>
      <c r="J612" s="14">
        <v>115.0</v>
      </c>
      <c r="K612" s="20">
        <f>'Индекс с Дивидендами'!$J612/'Индекс с Дивидендами'!$C612</f>
        <v>0.05746839238</v>
      </c>
    </row>
    <row r="613" hidden="1">
      <c r="A613" s="14">
        <v>2012.0</v>
      </c>
      <c r="B613" s="15" t="s">
        <v>59</v>
      </c>
      <c r="C613" s="14">
        <f>0.0248*100</f>
        <v>2.48</v>
      </c>
      <c r="D613" s="14">
        <v>1.55456E12</v>
      </c>
      <c r="E613" s="18">
        <v>2.4124828E11</v>
      </c>
      <c r="F613" s="14">
        <v>0.16</v>
      </c>
      <c r="G613" s="14">
        <v>1.0</v>
      </c>
      <c r="H613" s="18">
        <v>3.85997248E10</v>
      </c>
      <c r="I613" s="14">
        <v>0.8</v>
      </c>
      <c r="J613" s="14"/>
      <c r="K613" s="14">
        <f>'Индекс с Дивидендами'!$J613/'Индекс с Дивидендами'!$C613</f>
        <v>0</v>
      </c>
    </row>
    <row r="614">
      <c r="A614" s="14">
        <v>2012.0</v>
      </c>
      <c r="B614" s="15" t="s">
        <v>149</v>
      </c>
      <c r="C614" s="14">
        <v>1763.1</v>
      </c>
      <c r="D614" s="14">
        <v>2.3823765E7</v>
      </c>
      <c r="E614" s="18">
        <v>3.000262932774E11</v>
      </c>
      <c r="F614" s="14">
        <v>0.14</v>
      </c>
      <c r="G614" s="14">
        <v>1.0</v>
      </c>
      <c r="H614" s="18">
        <v>4.20036800715E10</v>
      </c>
      <c r="I614" s="14">
        <v>0.88</v>
      </c>
      <c r="J614" s="14">
        <v>99.0</v>
      </c>
      <c r="K614" s="20">
        <f>'Индекс с Дивидендами'!$J614/'Индекс с Дивидендами'!$C614</f>
        <v>0.0561510975</v>
      </c>
    </row>
    <row r="615">
      <c r="A615" s="14">
        <v>2012.0</v>
      </c>
      <c r="B615" s="15" t="s">
        <v>91</v>
      </c>
      <c r="C615" s="14">
        <v>90.42</v>
      </c>
      <c r="D615" s="14">
        <v>2.42831469E8</v>
      </c>
      <c r="E615" s="18">
        <v>2.195682142698E10</v>
      </c>
      <c r="F615" s="14">
        <v>1.0</v>
      </c>
      <c r="G615" s="14">
        <v>1.0</v>
      </c>
      <c r="H615" s="18">
        <v>2.195682142698E10</v>
      </c>
      <c r="I615" s="14">
        <v>0.46</v>
      </c>
      <c r="J615" s="14">
        <v>4.6959</v>
      </c>
      <c r="K615" s="20">
        <f>'Индекс с Дивидендами'!$J615/'Индекс с Дивидендами'!$C615</f>
        <v>0.05193430657</v>
      </c>
    </row>
    <row r="616">
      <c r="A616" s="14">
        <v>2012.0</v>
      </c>
      <c r="B616" s="15" t="s">
        <v>39</v>
      </c>
      <c r="C616" s="14">
        <v>44.91</v>
      </c>
      <c r="D616" s="14">
        <v>3.55397215E8</v>
      </c>
      <c r="E616" s="18">
        <v>4.987777798809E10</v>
      </c>
      <c r="F616" s="14">
        <v>0.32</v>
      </c>
      <c r="G616" s="14">
        <v>1.0</v>
      </c>
      <c r="H616" s="18">
        <v>1.596088892565E10</v>
      </c>
      <c r="I616" s="14">
        <v>0.33</v>
      </c>
      <c r="J616" s="14">
        <v>1.8081</v>
      </c>
      <c r="K616" s="20">
        <f>'Индекс с Дивидендами'!$J616/'Индекс с Дивидендами'!$C616</f>
        <v>0.04026052104</v>
      </c>
    </row>
    <row r="617">
      <c r="A617" s="14">
        <v>2012.0</v>
      </c>
      <c r="B617" s="15" t="s">
        <v>71</v>
      </c>
      <c r="C617" s="14">
        <v>204.6</v>
      </c>
      <c r="D617" s="14">
        <v>7.4928734E7</v>
      </c>
      <c r="E617" s="18">
        <v>8.5168994427E10</v>
      </c>
      <c r="F617" s="14">
        <v>0.18</v>
      </c>
      <c r="G617" s="14">
        <v>1.0</v>
      </c>
      <c r="H617" s="18">
        <v>1.53304189764E10</v>
      </c>
      <c r="I617" s="14">
        <v>0.32</v>
      </c>
      <c r="J617" s="14">
        <v>8.06</v>
      </c>
      <c r="K617" s="20">
        <f>'Индекс с Дивидендами'!$J617/'Индекс с Дивидендами'!$C617</f>
        <v>0.03939393939</v>
      </c>
    </row>
    <row r="618" hidden="1">
      <c r="A618" s="14">
        <v>2012.0</v>
      </c>
      <c r="B618" s="15" t="s">
        <v>192</v>
      </c>
      <c r="C618" s="14">
        <v>1.957</v>
      </c>
      <c r="D618" s="14">
        <v>1.4361508324E10</v>
      </c>
      <c r="E618" s="18">
        <v>9.368490597211E10</v>
      </c>
      <c r="F618" s="14">
        <v>0.3</v>
      </c>
      <c r="G618" s="14">
        <v>1.0</v>
      </c>
      <c r="H618" s="18">
        <v>2.810547179007E10</v>
      </c>
      <c r="I618" s="14">
        <v>0.59</v>
      </c>
      <c r="J618" s="14"/>
      <c r="K618" s="14">
        <f>'Индекс с Дивидендами'!$J618/'Индекс с Дивидендами'!$C618</f>
        <v>0</v>
      </c>
    </row>
    <row r="619">
      <c r="A619" s="14">
        <v>2012.0</v>
      </c>
      <c r="B619" s="15" t="s">
        <v>152</v>
      </c>
      <c r="C619" s="14">
        <v>181.3</v>
      </c>
      <c r="D619" s="14">
        <v>8.466465E7</v>
      </c>
      <c r="E619" s="18">
        <v>5.116567015E10</v>
      </c>
      <c r="F619" s="14">
        <v>0.3</v>
      </c>
      <c r="G619" s="14">
        <v>1.0</v>
      </c>
      <c r="H619" s="18">
        <v>1.5349701045E10</v>
      </c>
      <c r="I619" s="14">
        <v>0.32</v>
      </c>
      <c r="J619" s="14">
        <v>7.1</v>
      </c>
      <c r="K619" s="20">
        <f>'Индекс с Дивидендами'!$J619/'Индекс с Дивидендами'!$C619</f>
        <v>0.03916161059</v>
      </c>
    </row>
    <row r="620">
      <c r="A620" s="14">
        <v>2012.0</v>
      </c>
      <c r="B620" s="15" t="s">
        <v>90</v>
      </c>
      <c r="C620" s="14">
        <v>120.35</v>
      </c>
      <c r="D620" s="14">
        <v>1.265601055E9</v>
      </c>
      <c r="E620" s="18">
        <v>3.5422113267415E11</v>
      </c>
      <c r="F620" s="14">
        <v>0.43</v>
      </c>
      <c r="G620" s="14">
        <v>1.0</v>
      </c>
      <c r="H620" s="18">
        <v>1.5231508696925E11</v>
      </c>
      <c r="I620" s="14">
        <v>3.17</v>
      </c>
      <c r="J620" s="14">
        <v>4.6959</v>
      </c>
      <c r="K620" s="20">
        <f>'Индекс с Дивидендами'!$J620/'Индекс с Дивидендами'!$C620</f>
        <v>0.03901869547</v>
      </c>
    </row>
    <row r="621">
      <c r="A621" s="14">
        <v>2012.0</v>
      </c>
      <c r="B621" s="15" t="s">
        <v>94</v>
      </c>
      <c r="C621" s="14">
        <v>67.32</v>
      </c>
      <c r="D621" s="14">
        <v>6.846E8</v>
      </c>
      <c r="E621" s="18">
        <v>6.732E10</v>
      </c>
      <c r="F621" s="14">
        <v>1.0</v>
      </c>
      <c r="G621" s="14">
        <v>0.6846</v>
      </c>
      <c r="H621" s="18">
        <v>4.6087272E10</v>
      </c>
      <c r="I621" s="14">
        <v>0.96</v>
      </c>
      <c r="J621" s="14">
        <v>2.59</v>
      </c>
      <c r="K621" s="20">
        <f>'Индекс с Дивидендами'!$J621/'Индекс с Дивидендами'!$C621</f>
        <v>0.03847296494</v>
      </c>
    </row>
    <row r="622">
      <c r="A622" s="14">
        <v>2012.0</v>
      </c>
      <c r="B622" s="15" t="s">
        <v>49</v>
      </c>
      <c r="C622" s="14">
        <v>561.5</v>
      </c>
      <c r="D622" s="14">
        <v>1.5454532E7</v>
      </c>
      <c r="E622" s="18">
        <v>5.78514657225E10</v>
      </c>
      <c r="F622" s="14">
        <v>0.15</v>
      </c>
      <c r="G622" s="14">
        <v>1.0</v>
      </c>
      <c r="H622" s="18">
        <v>8.677719718E9</v>
      </c>
      <c r="I622" s="14">
        <v>0.18</v>
      </c>
      <c r="J622" s="14">
        <v>20.0</v>
      </c>
      <c r="K622" s="20">
        <f>'Индекс с Дивидендами'!$J622/'Индекс с Дивидендами'!$C622</f>
        <v>0.03561887801</v>
      </c>
    </row>
    <row r="623">
      <c r="A623" s="14">
        <v>2012.0</v>
      </c>
      <c r="B623" s="15" t="s">
        <v>45</v>
      </c>
      <c r="C623" s="14">
        <f>5608/100</f>
        <v>56.08</v>
      </c>
      <c r="D623" s="14">
        <v>4.5750659E7</v>
      </c>
      <c r="E623" s="18">
        <v>1.069040405176E12</v>
      </c>
      <c r="F623" s="14">
        <v>0.24</v>
      </c>
      <c r="G623" s="14">
        <v>1.0</v>
      </c>
      <c r="H623" s="18">
        <v>2.56569695672E11</v>
      </c>
      <c r="I623" s="14">
        <v>5.35</v>
      </c>
      <c r="J623" s="14">
        <f>196/100</f>
        <v>1.96</v>
      </c>
      <c r="K623" s="20">
        <f>'Индекс с Дивидендами'!$J623/'Индекс с Дивидендами'!$C623</f>
        <v>0.03495007133</v>
      </c>
    </row>
    <row r="624">
      <c r="A624" s="14">
        <v>2012.0</v>
      </c>
      <c r="B624" s="15" t="s">
        <v>96</v>
      </c>
      <c r="C624" s="14">
        <v>369.6</v>
      </c>
      <c r="D624" s="14">
        <v>1.75920918E8</v>
      </c>
      <c r="E624" s="18">
        <v>3.09620816736E11</v>
      </c>
      <c r="F624" s="14">
        <v>0.21</v>
      </c>
      <c r="G624" s="14">
        <v>1.0</v>
      </c>
      <c r="H624" s="18">
        <v>6.50203712928E10</v>
      </c>
      <c r="I624" s="14">
        <v>1.35</v>
      </c>
      <c r="J624" s="14">
        <v>12.33</v>
      </c>
      <c r="K624" s="20">
        <f>'Индекс с Дивидендами'!$J624/'Индекс с Дивидендами'!$C624</f>
        <v>0.03336038961</v>
      </c>
    </row>
    <row r="625">
      <c r="A625" s="14">
        <v>2012.0</v>
      </c>
      <c r="B625" s="15" t="s">
        <v>148</v>
      </c>
      <c r="C625" s="14">
        <v>1397.5</v>
      </c>
      <c r="D625" s="14">
        <v>5269420.0</v>
      </c>
      <c r="E625" s="18">
        <v>5.6646265E10</v>
      </c>
      <c r="F625" s="14">
        <v>0.13</v>
      </c>
      <c r="G625" s="14">
        <v>1.0</v>
      </c>
      <c r="H625" s="18">
        <v>7.36401445E9</v>
      </c>
      <c r="I625" s="14">
        <v>0.15</v>
      </c>
      <c r="J625" s="14">
        <v>46.0</v>
      </c>
      <c r="K625" s="20">
        <f>'Индекс с Дивидендами'!$J625/'Индекс с Дивидендами'!$C625</f>
        <v>0.03291592129</v>
      </c>
    </row>
    <row r="626">
      <c r="A626" s="14">
        <v>2012.0</v>
      </c>
      <c r="B626" s="15" t="s">
        <v>136</v>
      </c>
      <c r="C626" s="14">
        <v>218.0</v>
      </c>
      <c r="D626" s="14">
        <v>6.97181024E8</v>
      </c>
      <c r="E626" s="18">
        <v>4.749545726E11</v>
      </c>
      <c r="F626" s="14">
        <v>0.32</v>
      </c>
      <c r="G626" s="14">
        <v>1.0</v>
      </c>
      <c r="H626" s="18">
        <v>1.51985463232E11</v>
      </c>
      <c r="I626" s="14">
        <v>3.17</v>
      </c>
      <c r="J626" s="14">
        <v>7.08</v>
      </c>
      <c r="K626" s="20">
        <f>'Индекс с Дивидендами'!$J626/'Индекс с Дивидендами'!$C626</f>
        <v>0.03247706422</v>
      </c>
    </row>
    <row r="627">
      <c r="A627" s="14">
        <v>2012.0</v>
      </c>
      <c r="B627" s="15" t="s">
        <v>132</v>
      </c>
      <c r="C627" s="14">
        <v>270.17</v>
      </c>
      <c r="D627" s="14">
        <v>1.08832688E9</v>
      </c>
      <c r="E627" s="18">
        <v>2.86330970081889E12</v>
      </c>
      <c r="F627" s="14">
        <v>0.15</v>
      </c>
      <c r="G627" s="14">
        <v>0.6846</v>
      </c>
      <c r="H627" s="18">
        <v>2.940332731696E11</v>
      </c>
      <c r="I627" s="14">
        <v>6.13</v>
      </c>
      <c r="J627" s="14">
        <v>7.53</v>
      </c>
      <c r="K627" s="20">
        <f>'Индекс с Дивидендами'!$J627/'Индекс с Дивидендами'!$C627</f>
        <v>0.02787134027</v>
      </c>
    </row>
    <row r="628">
      <c r="A628" s="14">
        <v>2012.0</v>
      </c>
      <c r="B628" s="15" t="s">
        <v>69</v>
      </c>
      <c r="C628" s="14">
        <v>10.418</v>
      </c>
      <c r="D628" s="14">
        <v>5.587165E8</v>
      </c>
      <c r="E628" s="18">
        <v>1.1641416994E11</v>
      </c>
      <c r="F628" s="14">
        <v>0.05</v>
      </c>
      <c r="G628" s="14">
        <v>1.0</v>
      </c>
      <c r="H628" s="18">
        <v>5.820708497E9</v>
      </c>
      <c r="I628" s="14">
        <v>0.12</v>
      </c>
      <c r="J628" s="14">
        <v>0.28</v>
      </c>
      <c r="K628" s="20">
        <f>'Индекс с Дивидендами'!$J628/'Индекс с Дивидендами'!$C628</f>
        <v>0.0268765598</v>
      </c>
    </row>
    <row r="629">
      <c r="A629" s="14">
        <v>2012.0</v>
      </c>
      <c r="B629" s="15" t="s">
        <v>126</v>
      </c>
      <c r="C629" s="14">
        <v>1.3344</v>
      </c>
      <c r="D629" s="14">
        <v>3.9562403955E10</v>
      </c>
      <c r="E629" s="18">
        <v>5.304154558368E10</v>
      </c>
      <c r="F629" s="14">
        <v>0.15</v>
      </c>
      <c r="G629" s="14">
        <v>1.0</v>
      </c>
      <c r="H629" s="18">
        <v>7.95623183755E9</v>
      </c>
      <c r="I629" s="14">
        <v>0.17</v>
      </c>
      <c r="J629" s="14">
        <v>0.03</v>
      </c>
      <c r="K629" s="20">
        <f>'Индекс с Дивидендами'!$J629/'Индекс с Дивидендами'!$C629</f>
        <v>0.02248201439</v>
      </c>
    </row>
    <row r="630">
      <c r="A630" s="14">
        <v>2012.0</v>
      </c>
      <c r="B630" s="15" t="s">
        <v>93</v>
      </c>
      <c r="C630" s="14">
        <v>92.91</v>
      </c>
      <c r="D630" s="14">
        <v>7.093643808E9</v>
      </c>
      <c r="E630" s="18">
        <v>2.00564333868E12</v>
      </c>
      <c r="F630" s="14">
        <v>0.48</v>
      </c>
      <c r="G630" s="14">
        <v>0.6846</v>
      </c>
      <c r="H630" s="18">
        <v>6.5907044620128E11</v>
      </c>
      <c r="I630" s="14">
        <v>13.73</v>
      </c>
      <c r="J630" s="14">
        <v>2.08</v>
      </c>
      <c r="K630" s="20">
        <f>'Индекс с Дивидендами'!$J630/'Индекс с Дивидендами'!$C630</f>
        <v>0.02238725648</v>
      </c>
    </row>
    <row r="631" hidden="1">
      <c r="A631" s="14">
        <v>2012.0</v>
      </c>
      <c r="B631" s="15" t="s">
        <v>191</v>
      </c>
      <c r="C631" s="14">
        <v>1629.5</v>
      </c>
      <c r="D631" s="14">
        <v>6802668.0</v>
      </c>
      <c r="E631" s="18">
        <v>6.15830465885E10</v>
      </c>
      <c r="F631" s="14">
        <v>0.18</v>
      </c>
      <c r="G631" s="14">
        <v>1.0</v>
      </c>
      <c r="H631" s="18">
        <v>1.1084947506E10</v>
      </c>
      <c r="I631" s="14">
        <v>0.23</v>
      </c>
      <c r="J631" s="14"/>
      <c r="K631" s="14">
        <f>'Индекс с Дивидендами'!$J631/'Индекс с Дивидендами'!$C631</f>
        <v>0</v>
      </c>
    </row>
    <row r="632" hidden="1">
      <c r="A632" s="14">
        <v>2012.0</v>
      </c>
      <c r="B632" s="15" t="s">
        <v>86</v>
      </c>
      <c r="C632" s="14">
        <v>67.5</v>
      </c>
      <c r="D632" s="14">
        <v>1.52910719E8</v>
      </c>
      <c r="E632" s="18">
        <v>3.329507592E10</v>
      </c>
      <c r="F632" s="14">
        <v>0.31</v>
      </c>
      <c r="G632" s="14">
        <v>1.0</v>
      </c>
      <c r="H632" s="18">
        <v>1.03214735352E10</v>
      </c>
      <c r="I632" s="14">
        <v>0.22</v>
      </c>
      <c r="J632" s="14"/>
      <c r="K632" s="14">
        <f>'Индекс с Дивидендами'!$J632/'Индекс с Дивидендами'!$C632</f>
        <v>0</v>
      </c>
    </row>
    <row r="633" hidden="1">
      <c r="A633" s="14">
        <v>2012.0</v>
      </c>
      <c r="B633" s="15" t="s">
        <v>146</v>
      </c>
      <c r="C633" s="14">
        <v>58.0</v>
      </c>
      <c r="D633" s="14">
        <v>1.40543965E8</v>
      </c>
      <c r="E633" s="18">
        <v>4.5286388864E10</v>
      </c>
      <c r="F633" s="14">
        <v>0.18</v>
      </c>
      <c r="G633" s="14">
        <v>1.0</v>
      </c>
      <c r="H633" s="18">
        <v>8.15154997E9</v>
      </c>
      <c r="I633" s="14">
        <v>0.17</v>
      </c>
      <c r="J633" s="14"/>
      <c r="K633" s="14">
        <f>'Индекс с Дивидендами'!$J633/'Индекс с Дивидендами'!$C633</f>
        <v>0</v>
      </c>
    </row>
    <row r="634">
      <c r="A634" s="14">
        <v>2012.0</v>
      </c>
      <c r="B634" s="15" t="s">
        <v>141</v>
      </c>
      <c r="C634" s="14">
        <v>26.826</v>
      </c>
      <c r="D634" s="14">
        <v>6.114503993E9</v>
      </c>
      <c r="E634" s="18">
        <v>9.5838553395633E11</v>
      </c>
      <c r="F634" s="14">
        <v>0.25</v>
      </c>
      <c r="G634" s="14">
        <v>0.6846</v>
      </c>
      <c r="H634" s="18">
        <v>1.6402768411622E11</v>
      </c>
      <c r="I634" s="14">
        <v>3.42</v>
      </c>
      <c r="J634" s="14">
        <v>0.6</v>
      </c>
      <c r="K634" s="20">
        <f>'Индекс с Дивидендами'!$J634/'Индекс с Дивидендами'!$C634</f>
        <v>0.02236636099</v>
      </c>
    </row>
    <row r="635">
      <c r="A635" s="14">
        <v>2012.0</v>
      </c>
      <c r="B635" s="15" t="s">
        <v>130</v>
      </c>
      <c r="C635" s="14">
        <v>345.92</v>
      </c>
      <c r="D635" s="14">
        <v>5.4653508E8</v>
      </c>
      <c r="E635" s="18">
        <v>1.05031897152E12</v>
      </c>
      <c r="F635" s="14">
        <v>0.18</v>
      </c>
      <c r="G635" s="14">
        <v>1.0</v>
      </c>
      <c r="H635" s="18">
        <v>1.890574148736E11</v>
      </c>
      <c r="I635" s="14">
        <v>3.94</v>
      </c>
      <c r="J635" s="14">
        <v>6.5</v>
      </c>
      <c r="K635" s="20">
        <f>'Индекс с Дивидендами'!$J635/'Индекс с Дивидендами'!$C635</f>
        <v>0.01879047179</v>
      </c>
    </row>
    <row r="636">
      <c r="A636" s="14">
        <v>2012.0</v>
      </c>
      <c r="B636" s="15" t="s">
        <v>151</v>
      </c>
      <c r="C636" s="14">
        <v>1.51</v>
      </c>
      <c r="D636" s="14">
        <v>8.767276483E9</v>
      </c>
      <c r="E636" s="18">
        <v>7.354770827674E10</v>
      </c>
      <c r="F636" s="14">
        <v>0.18</v>
      </c>
      <c r="G636" s="14">
        <v>1.0</v>
      </c>
      <c r="H636" s="18">
        <v>1.323858748933E10</v>
      </c>
      <c r="I636" s="14">
        <v>0.28</v>
      </c>
      <c r="J636" s="14">
        <v>0.025</v>
      </c>
      <c r="K636" s="20">
        <f>'Индекс с Дивидендами'!$J636/'Индекс с Дивидендами'!$C636</f>
        <v>0.01655629139</v>
      </c>
    </row>
    <row r="637" hidden="1">
      <c r="A637" s="14">
        <v>2012.0</v>
      </c>
      <c r="B637" s="15" t="s">
        <v>193</v>
      </c>
      <c r="C637" s="14">
        <v>191.87</v>
      </c>
      <c r="D637" s="14">
        <v>1.6E8</v>
      </c>
      <c r="E637" s="18">
        <v>3.8374E11</v>
      </c>
      <c r="F637" s="14">
        <v>0.08</v>
      </c>
      <c r="G637" s="14">
        <v>1.0</v>
      </c>
      <c r="H637" s="18">
        <v>3.06992E10</v>
      </c>
      <c r="I637" s="14">
        <v>0.64</v>
      </c>
      <c r="J637" s="14"/>
      <c r="K637" s="14">
        <f>'Индекс с Дивидендами'!$J637/'Индекс с Дивидендами'!$C637</f>
        <v>0</v>
      </c>
    </row>
    <row r="638">
      <c r="A638" s="14">
        <v>2012.0</v>
      </c>
      <c r="B638" s="15" t="s">
        <v>9</v>
      </c>
      <c r="C638" s="14">
        <f>0.0536*5000</f>
        <v>268</v>
      </c>
      <c r="D638" s="19">
        <v>2.615135334334E12</v>
      </c>
      <c r="E638" s="18">
        <v>5.6078962109469E11</v>
      </c>
      <c r="F638" s="14">
        <v>0.25</v>
      </c>
      <c r="G638" s="14">
        <v>1.0</v>
      </c>
      <c r="H638" s="18">
        <v>1.4019740527365E11</v>
      </c>
      <c r="I638" s="14">
        <v>2.92</v>
      </c>
      <c r="J638" s="14">
        <f>0.00088*5000</f>
        <v>4.4</v>
      </c>
      <c r="K638" s="20">
        <f>'Индекс с Дивидендами'!$J638/'Индекс с Дивидендами'!$C638</f>
        <v>0.01641791045</v>
      </c>
    </row>
    <row r="639">
      <c r="A639" s="14">
        <v>2012.0</v>
      </c>
      <c r="B639" s="15" t="s">
        <v>37</v>
      </c>
      <c r="C639" s="14">
        <v>25.5</v>
      </c>
      <c r="D639" s="14">
        <v>1.158E9</v>
      </c>
      <c r="E639" s="18">
        <v>2.46075E11</v>
      </c>
      <c r="F639" s="14">
        <v>0.12</v>
      </c>
      <c r="G639" s="14">
        <v>1.0</v>
      </c>
      <c r="H639" s="18">
        <v>2.9529E10</v>
      </c>
      <c r="I639" s="14">
        <v>0.62</v>
      </c>
      <c r="J639" s="14">
        <v>0.28</v>
      </c>
      <c r="K639" s="20">
        <f>'Индекс с Дивидендами'!$J639/'Индекс с Дивидендами'!$C639</f>
        <v>0.01098039216</v>
      </c>
    </row>
    <row r="640">
      <c r="A640" s="14">
        <v>2012.0</v>
      </c>
      <c r="B640" s="15" t="s">
        <v>106</v>
      </c>
      <c r="C640" s="14">
        <v>0.7335</v>
      </c>
      <c r="D640" s="14">
        <v>8.7090810713E10</v>
      </c>
      <c r="E640" s="18">
        <v>2.12937032195E11</v>
      </c>
      <c r="F640" s="14">
        <v>0.3</v>
      </c>
      <c r="G640" s="14">
        <v>1.0</v>
      </c>
      <c r="H640" s="18">
        <v>6.388110965799E10</v>
      </c>
      <c r="I640" s="14">
        <v>1.33</v>
      </c>
      <c r="J640" s="14">
        <v>0.00789317</v>
      </c>
      <c r="K640" s="20">
        <f>'Индекс с Дивидендами'!$J640/'Индекс с Дивидендами'!$C640</f>
        <v>0.01076096796</v>
      </c>
    </row>
    <row r="641">
      <c r="A641" s="14">
        <v>2012.0</v>
      </c>
      <c r="B641" s="15" t="s">
        <v>104</v>
      </c>
      <c r="C641" s="14">
        <f>68334/100</f>
        <v>683.34</v>
      </c>
      <c r="D641" s="14">
        <v>1554875.0</v>
      </c>
      <c r="E641" s="18">
        <v>1.06250828825E11</v>
      </c>
      <c r="F641" s="14">
        <v>1.0</v>
      </c>
      <c r="G641" s="14">
        <v>1.0</v>
      </c>
      <c r="H641" s="18">
        <v>1.06250828825E11</v>
      </c>
      <c r="I641" s="14">
        <v>2.21</v>
      </c>
      <c r="J641" s="14">
        <f>716.58/100</f>
        <v>7.1658</v>
      </c>
      <c r="K641" s="20">
        <f>'Индекс с Дивидендами'!$J641/'Индекс с Дивидендами'!$C641</f>
        <v>0.01048643428</v>
      </c>
    </row>
    <row r="642" hidden="1">
      <c r="A642" s="14">
        <v>2012.0</v>
      </c>
      <c r="B642" s="15" t="s">
        <v>158</v>
      </c>
      <c r="C642" s="14">
        <v>686.7</v>
      </c>
      <c r="D642" s="14">
        <v>1.1651854E7</v>
      </c>
      <c r="E642" s="18">
        <v>2.35333181853E10</v>
      </c>
      <c r="F642" s="14">
        <v>0.34</v>
      </c>
      <c r="G642" s="14">
        <v>1.0</v>
      </c>
      <c r="H642" s="18">
        <v>8.0013281418E9</v>
      </c>
      <c r="I642" s="14">
        <v>0.17</v>
      </c>
      <c r="J642" s="14"/>
      <c r="K642" s="14">
        <f>'Индекс с Дивидендами'!$J642/'Индекс с Дивидендами'!$C642</f>
        <v>0</v>
      </c>
    </row>
    <row r="643">
      <c r="A643" s="14">
        <v>2012.0</v>
      </c>
      <c r="B643" s="15" t="s">
        <v>82</v>
      </c>
      <c r="C643" s="14">
        <v>61.19</v>
      </c>
      <c r="D643" s="14">
        <v>8.39051813E8</v>
      </c>
      <c r="E643" s="18">
        <v>3.667255748156E11</v>
      </c>
      <c r="F643" s="14">
        <v>0.14</v>
      </c>
      <c r="G643" s="14">
        <v>1.0</v>
      </c>
      <c r="H643" s="18">
        <v>5.134158043747E10</v>
      </c>
      <c r="I643" s="14">
        <v>1.07</v>
      </c>
      <c r="J643" s="14">
        <v>0.6</v>
      </c>
      <c r="K643" s="20">
        <f>'Индекс с Дивидендами'!$J643/'Индекс с Дивидендами'!$C643</f>
        <v>0.009805523778</v>
      </c>
    </row>
    <row r="644">
      <c r="A644" s="14">
        <v>2012.0</v>
      </c>
      <c r="B644" s="15" t="s">
        <v>147</v>
      </c>
      <c r="C644" s="14">
        <v>4839.8</v>
      </c>
      <c r="D644" s="14">
        <v>2.2694725E7</v>
      </c>
      <c r="E644" s="18">
        <v>4.57658045929E11</v>
      </c>
      <c r="F644" s="14">
        <v>0.24</v>
      </c>
      <c r="G644" s="14">
        <v>1.0</v>
      </c>
      <c r="H644" s="18">
        <v>1.09837930055E11</v>
      </c>
      <c r="I644" s="14">
        <v>2.29</v>
      </c>
      <c r="J644" s="14">
        <v>44.59</v>
      </c>
      <c r="K644" s="20">
        <f>'Индекс с Дивидендами'!$J644/'Индекс с Дивидендами'!$C644</f>
        <v>0.009213190628</v>
      </c>
    </row>
    <row r="645">
      <c r="A645" s="14">
        <v>2012.0</v>
      </c>
      <c r="B645" s="15" t="s">
        <v>153</v>
      </c>
      <c r="C645" s="14">
        <v>2.8494</v>
      </c>
      <c r="D645" s="14">
        <v>5.77794462E9</v>
      </c>
      <c r="E645" s="18">
        <v>5.487891800076E10</v>
      </c>
      <c r="F645" s="14">
        <v>0.3</v>
      </c>
      <c r="G645" s="14">
        <v>1.0</v>
      </c>
      <c r="H645" s="18">
        <v>1.646367540023E10</v>
      </c>
      <c r="I645" s="14">
        <v>0.34</v>
      </c>
      <c r="J645" s="14">
        <v>0.0235</v>
      </c>
      <c r="K645" s="20">
        <f>'Индекс с Дивидендами'!$J645/'Индекс с Дивидендами'!$C645</f>
        <v>0.008247350319</v>
      </c>
    </row>
    <row r="646" hidden="1">
      <c r="A646" s="14">
        <v>2012.0</v>
      </c>
      <c r="B646" s="15" t="s">
        <v>160</v>
      </c>
      <c r="C646" s="14">
        <v>234.76</v>
      </c>
      <c r="D646" s="14">
        <v>1.033051871E9</v>
      </c>
      <c r="E646" s="18">
        <v>6.8925909057116E11</v>
      </c>
      <c r="F646" s="14">
        <v>0.45</v>
      </c>
      <c r="G646" s="14">
        <v>0.7819</v>
      </c>
      <c r="H646" s="18">
        <v>2.4251925723596E11</v>
      </c>
      <c r="I646" s="14">
        <v>5.05</v>
      </c>
      <c r="J646" s="14"/>
      <c r="K646" s="14">
        <f>'Индекс с Дивидендами'!$J646/'Индекс с Дивидендами'!$C646</f>
        <v>0</v>
      </c>
    </row>
    <row r="647">
      <c r="A647" s="14">
        <v>2012.0</v>
      </c>
      <c r="B647" s="15" t="s">
        <v>155</v>
      </c>
      <c r="C647" s="14">
        <v>6409.0</v>
      </c>
      <c r="D647" s="14">
        <v>3343566.0</v>
      </c>
      <c r="E647" s="18">
        <v>7.3892809042E10</v>
      </c>
      <c r="F647" s="14">
        <v>0.29</v>
      </c>
      <c r="G647" s="14">
        <v>1.0</v>
      </c>
      <c r="H647" s="18">
        <v>2.1428914494E10</v>
      </c>
      <c r="I647" s="14">
        <v>0.45</v>
      </c>
      <c r="J647" s="14">
        <v>26.52</v>
      </c>
      <c r="K647" s="20">
        <f>'Индекс с Дивидендами'!$J647/'Индекс с Дивидендами'!$C647</f>
        <v>0.004137931034</v>
      </c>
    </row>
    <row r="648">
      <c r="A648" s="14">
        <v>2012.0</v>
      </c>
      <c r="B648" s="15" t="s">
        <v>154</v>
      </c>
      <c r="C648" s="14">
        <v>0.3435</v>
      </c>
      <c r="D648" s="14">
        <v>2.0764774436E10</v>
      </c>
      <c r="E648" s="18">
        <v>2.037914291076E10</v>
      </c>
      <c r="F648" s="14">
        <v>0.35</v>
      </c>
      <c r="G648" s="14">
        <v>1.0</v>
      </c>
      <c r="H648" s="18">
        <v>7.13270001877E9</v>
      </c>
      <c r="I648" s="14">
        <v>0.15</v>
      </c>
      <c r="J648" s="14">
        <v>9.98761E-4</v>
      </c>
      <c r="K648" s="20">
        <f>'Индекс с Дивидендами'!$J648/'Индекс с Дивидендами'!$C648</f>
        <v>0.002907601164</v>
      </c>
    </row>
    <row r="649" hidden="1">
      <c r="A649" s="14">
        <v>2012.0</v>
      </c>
      <c r="B649" s="15" t="s">
        <v>194</v>
      </c>
      <c r="C649" s="14">
        <v>537.7</v>
      </c>
      <c r="D649" s="14">
        <v>9024503.0</v>
      </c>
      <c r="E649" s="18">
        <v>1.27696727638E10</v>
      </c>
      <c r="F649" s="14">
        <v>0.38</v>
      </c>
      <c r="G649" s="14">
        <v>1.0</v>
      </c>
      <c r="H649" s="18">
        <v>4.8524752631E9</v>
      </c>
      <c r="I649" s="14">
        <v>0.1</v>
      </c>
      <c r="J649" s="14"/>
      <c r="K649" s="14">
        <f>'Индекс с Дивидендами'!$J649/'Индекс с Дивидендами'!$C649</f>
        <v>0</v>
      </c>
    </row>
    <row r="650">
      <c r="A650" s="14">
        <v>2011.0</v>
      </c>
      <c r="B650" s="15" t="s">
        <v>74</v>
      </c>
      <c r="C650" s="14">
        <v>183.29</v>
      </c>
      <c r="D650" s="14">
        <v>2.47969627E8</v>
      </c>
      <c r="E650" s="18">
        <v>3.7875294177898E11</v>
      </c>
      <c r="F650" s="14">
        <v>0.12</v>
      </c>
      <c r="G650" s="14">
        <v>1.0</v>
      </c>
      <c r="H650" s="18">
        <v>4.545035293283E10</v>
      </c>
      <c r="I650" s="14">
        <v>0.94</v>
      </c>
      <c r="J650" s="14">
        <v>14.54</v>
      </c>
      <c r="K650" s="20">
        <f>'Индекс с Дивидендами'!$J650/'Индекс с Дивидендами'!$C650</f>
        <v>0.07932784113</v>
      </c>
    </row>
    <row r="651">
      <c r="A651" s="14">
        <v>2011.0</v>
      </c>
      <c r="B651" s="15" t="s">
        <v>142</v>
      </c>
      <c r="C651" s="14">
        <v>16.464</v>
      </c>
      <c r="D651" s="14">
        <v>5.622458711E9</v>
      </c>
      <c r="E651" s="18">
        <v>1.2680569894104E11</v>
      </c>
      <c r="F651" s="14">
        <v>0.73</v>
      </c>
      <c r="G651" s="14">
        <v>1.0</v>
      </c>
      <c r="H651" s="18">
        <v>9.25681602179E10</v>
      </c>
      <c r="I651" s="14">
        <v>1.92</v>
      </c>
      <c r="J651" s="14">
        <v>1.18</v>
      </c>
      <c r="K651" s="20">
        <f>'Индекс с Дивидендами'!$J651/'Индекс с Дивидендами'!$C651</f>
        <v>0.07167152575</v>
      </c>
    </row>
    <row r="652">
      <c r="A652" s="14">
        <v>2011.0</v>
      </c>
      <c r="B652" s="15" t="s">
        <v>146</v>
      </c>
      <c r="C652" s="14">
        <v>99.06</v>
      </c>
      <c r="D652" s="14">
        <v>1.56159961E8</v>
      </c>
      <c r="E652" s="18">
        <v>7.734602898048E10</v>
      </c>
      <c r="F652" s="14">
        <v>0.2</v>
      </c>
      <c r="G652" s="14">
        <v>1.0</v>
      </c>
      <c r="H652" s="18">
        <v>1.546920573666E10</v>
      </c>
      <c r="I652" s="14">
        <v>0.32</v>
      </c>
      <c r="J652" s="14">
        <v>5.0</v>
      </c>
      <c r="K652" s="20">
        <f>'Индекс с Дивидендами'!$J652/'Индекс с Дивидендами'!$C652</f>
        <v>0.05047445992</v>
      </c>
    </row>
    <row r="653">
      <c r="A653" s="14">
        <v>2011.0</v>
      </c>
      <c r="B653" s="15" t="s">
        <v>59</v>
      </c>
      <c r="C653" s="14">
        <f>0.0347*100</f>
        <v>3.47</v>
      </c>
      <c r="D653" s="14">
        <v>1.26308E12</v>
      </c>
      <c r="E653" s="18">
        <v>3.37018892E11</v>
      </c>
      <c r="F653" s="14">
        <v>0.13</v>
      </c>
      <c r="G653" s="14">
        <v>1.0</v>
      </c>
      <c r="H653" s="18">
        <v>4.381245596E10</v>
      </c>
      <c r="I653" s="14">
        <v>0.91</v>
      </c>
      <c r="J653" s="14">
        <f>0.001544*100</f>
        <v>0.1544</v>
      </c>
      <c r="K653" s="20">
        <f>'Индекс с Дивидендами'!$J653/'Индекс с Дивидендами'!$C653</f>
        <v>0.04449567723</v>
      </c>
    </row>
    <row r="654">
      <c r="A654" s="14">
        <v>2011.0</v>
      </c>
      <c r="B654" s="15" t="s">
        <v>82</v>
      </c>
      <c r="C654" s="14">
        <v>62.8</v>
      </c>
      <c r="D654" s="14">
        <v>8.39051813E8</v>
      </c>
      <c r="E654" s="18">
        <v>3.76374670672E11</v>
      </c>
      <c r="F654" s="14">
        <v>0.14</v>
      </c>
      <c r="G654" s="14">
        <v>1.0</v>
      </c>
      <c r="H654" s="18">
        <v>5.26924538564E10</v>
      </c>
      <c r="I654" s="14">
        <v>1.09</v>
      </c>
      <c r="J654" s="14">
        <v>2.6</v>
      </c>
      <c r="K654" s="20">
        <f>'Индекс с Дивидендами'!$J654/'Индекс с Дивидендами'!$C654</f>
        <v>0.04140127389</v>
      </c>
    </row>
    <row r="655">
      <c r="A655" s="14">
        <v>2011.0</v>
      </c>
      <c r="B655" s="15" t="s">
        <v>96</v>
      </c>
      <c r="C655" s="14">
        <v>364.4</v>
      </c>
      <c r="D655" s="14">
        <v>1.7130923E8</v>
      </c>
      <c r="E655" s="18">
        <v>3.67206373762E11</v>
      </c>
      <c r="F655" s="14">
        <v>0.17</v>
      </c>
      <c r="G655" s="14">
        <v>1.0</v>
      </c>
      <c r="H655" s="18">
        <v>6.2425083412E10</v>
      </c>
      <c r="I655" s="14">
        <v>1.3</v>
      </c>
      <c r="J655" s="14">
        <v>14.05</v>
      </c>
      <c r="K655" s="20">
        <f>'Индекс с Дивидендами'!$J655/'Индекс с Дивидендами'!$C655</f>
        <v>0.03855653128</v>
      </c>
    </row>
    <row r="656">
      <c r="A656" s="14">
        <v>2011.0</v>
      </c>
      <c r="B656" s="15" t="s">
        <v>45</v>
      </c>
      <c r="C656" s="14">
        <f>4928/100</f>
        <v>49.28</v>
      </c>
      <c r="D656" s="14">
        <v>4.5750659E7</v>
      </c>
      <c r="E656" s="18">
        <v>9.39413537216E11</v>
      </c>
      <c r="F656" s="14">
        <v>0.24</v>
      </c>
      <c r="G656" s="14">
        <v>1.0</v>
      </c>
      <c r="H656" s="18">
        <v>2.25459247552E11</v>
      </c>
      <c r="I656" s="14">
        <v>4.68</v>
      </c>
      <c r="J656" s="14">
        <f>180/100</f>
        <v>1.8</v>
      </c>
      <c r="K656" s="20">
        <f>'Индекс с Дивидендами'!$J656/'Индекс с Дивидендами'!$C656</f>
        <v>0.03652597403</v>
      </c>
    </row>
    <row r="657">
      <c r="A657" s="14">
        <v>2011.0</v>
      </c>
      <c r="B657" s="15" t="s">
        <v>78</v>
      </c>
      <c r="C657" s="14">
        <v>1701.1</v>
      </c>
      <c r="D657" s="14">
        <v>4.39490286E8</v>
      </c>
      <c r="E657" s="18">
        <v>1.4468931530805E12</v>
      </c>
      <c r="F657" s="14">
        <v>0.57</v>
      </c>
      <c r="G657" s="14">
        <v>0.9065</v>
      </c>
      <c r="H657" s="18">
        <v>7.476169255146E11</v>
      </c>
      <c r="I657" s="14">
        <v>15.51</v>
      </c>
      <c r="J657" s="14">
        <v>59.0</v>
      </c>
      <c r="K657" s="20">
        <f>'Индекс с Дивидендами'!$J657/'Индекс с Дивидендами'!$C657</f>
        <v>0.03468344013</v>
      </c>
    </row>
    <row r="658">
      <c r="A658" s="14">
        <v>2011.0</v>
      </c>
      <c r="B658" s="15" t="s">
        <v>71</v>
      </c>
      <c r="C658" s="14">
        <v>271.9</v>
      </c>
      <c r="D658" s="14">
        <v>7.4928734E7</v>
      </c>
      <c r="E658" s="18">
        <v>1.131840155655E11</v>
      </c>
      <c r="F658" s="14">
        <v>0.18</v>
      </c>
      <c r="G658" s="14">
        <v>1.0</v>
      </c>
      <c r="H658" s="18">
        <v>2.037312277416E10</v>
      </c>
      <c r="I658" s="14">
        <v>0.42</v>
      </c>
      <c r="J658" s="14">
        <v>8.73</v>
      </c>
      <c r="K658" s="20">
        <f>'Индекс с Дивидендами'!$J658/'Индекс с Дивидендами'!$C658</f>
        <v>0.03210739242</v>
      </c>
    </row>
    <row r="659">
      <c r="A659" s="14">
        <v>2011.0</v>
      </c>
      <c r="B659" s="15" t="s">
        <v>136</v>
      </c>
      <c r="C659" s="14">
        <v>158.4</v>
      </c>
      <c r="D659" s="14">
        <v>6.97181024E8</v>
      </c>
      <c r="E659" s="18">
        <v>3.4510460688E11</v>
      </c>
      <c r="F659" s="14">
        <v>0.32</v>
      </c>
      <c r="G659" s="14">
        <v>1.0</v>
      </c>
      <c r="H659" s="18">
        <v>1.104334742016E11</v>
      </c>
      <c r="I659" s="14">
        <v>2.29</v>
      </c>
      <c r="J659" s="14">
        <v>5.02</v>
      </c>
      <c r="K659" s="20">
        <f>'Индекс с Дивидендами'!$J659/'Индекс с Дивидендами'!$C659</f>
        <v>0.03169191919</v>
      </c>
    </row>
    <row r="660" hidden="1">
      <c r="A660" s="14">
        <v>2011.0</v>
      </c>
      <c r="B660" s="15" t="s">
        <v>192</v>
      </c>
      <c r="C660" s="14">
        <v>2.302</v>
      </c>
      <c r="D660" s="14">
        <v>1.2889220124E10</v>
      </c>
      <c r="E660" s="18">
        <v>9.890328242046E10</v>
      </c>
      <c r="F660" s="14">
        <v>0.3</v>
      </c>
      <c r="G660" s="14">
        <v>1.0</v>
      </c>
      <c r="H660" s="18">
        <v>2.967098472545E10</v>
      </c>
      <c r="I660" s="14">
        <v>0.62</v>
      </c>
      <c r="J660" s="14"/>
      <c r="K660" s="14">
        <f>'Индекс с Дивидендами'!$J660/'Индекс с Дивидендами'!$C660</f>
        <v>0</v>
      </c>
    </row>
    <row r="661">
      <c r="A661" s="14">
        <v>2011.0</v>
      </c>
      <c r="B661" s="15" t="s">
        <v>143</v>
      </c>
      <c r="C661" s="14">
        <v>147.14</v>
      </c>
      <c r="D661" s="14">
        <v>2.37064981E8</v>
      </c>
      <c r="E661" s="18">
        <v>6.9763482888246E11</v>
      </c>
      <c r="F661" s="14">
        <v>0.05</v>
      </c>
      <c r="G661" s="14">
        <v>1.0</v>
      </c>
      <c r="H661" s="18">
        <v>3.488174130434E10</v>
      </c>
      <c r="I661" s="14">
        <v>0.72</v>
      </c>
      <c r="J661" s="14">
        <v>4.44</v>
      </c>
      <c r="K661" s="20">
        <f>'Индекс с Дивидендами'!$J661/'Индекс с Дивидендами'!$C661</f>
        <v>0.03017534321</v>
      </c>
    </row>
    <row r="662">
      <c r="A662" s="14">
        <v>2011.0</v>
      </c>
      <c r="B662" s="15" t="s">
        <v>69</v>
      </c>
      <c r="C662" s="14">
        <v>12.36</v>
      </c>
      <c r="D662" s="14">
        <v>5.587165E8</v>
      </c>
      <c r="E662" s="18">
        <v>1.381147188E11</v>
      </c>
      <c r="F662" s="14">
        <v>0.05</v>
      </c>
      <c r="G662" s="14">
        <v>1.0</v>
      </c>
      <c r="H662" s="18">
        <v>6.90573594E9</v>
      </c>
      <c r="I662" s="14">
        <v>0.14</v>
      </c>
      <c r="J662" s="14">
        <v>0.33</v>
      </c>
      <c r="K662" s="20">
        <f>'Индекс с Дивидендами'!$J662/'Индекс с Дивидендами'!$C662</f>
        <v>0.02669902913</v>
      </c>
    </row>
    <row r="663">
      <c r="A663" s="14">
        <v>2011.0</v>
      </c>
      <c r="B663" s="15" t="s">
        <v>43</v>
      </c>
      <c r="C663" s="14">
        <v>171.31</v>
      </c>
      <c r="D663" s="14">
        <v>4.244850251E9</v>
      </c>
      <c r="E663" s="18">
        <v>4.055509494899E12</v>
      </c>
      <c r="F663" s="14">
        <v>0.46</v>
      </c>
      <c r="G663" s="14">
        <v>0.3898</v>
      </c>
      <c r="H663" s="18">
        <v>7.2718529649881E11</v>
      </c>
      <c r="I663" s="14">
        <v>15.09</v>
      </c>
      <c r="J663" s="14">
        <v>3.85</v>
      </c>
      <c r="K663" s="20">
        <f>'Индекс с Дивидендами'!$J663/'Индекс с Дивидендами'!$C663</f>
        <v>0.02247387777</v>
      </c>
    </row>
    <row r="664">
      <c r="A664" s="14">
        <v>2011.0</v>
      </c>
      <c r="B664" s="15" t="s">
        <v>39</v>
      </c>
      <c r="C664" s="14">
        <v>50.27</v>
      </c>
      <c r="D664" s="14">
        <v>4.33140356E8</v>
      </c>
      <c r="E664" s="18">
        <v>5.583068135073E10</v>
      </c>
      <c r="F664" s="14">
        <v>0.39</v>
      </c>
      <c r="G664" s="14">
        <v>1.0</v>
      </c>
      <c r="H664" s="18">
        <v>2.177396569612E10</v>
      </c>
      <c r="I664" s="14">
        <v>0.45</v>
      </c>
      <c r="J664" s="14">
        <v>1.0851</v>
      </c>
      <c r="K664" s="20">
        <f>'Индекс с Дивидендами'!$J664/'Индекс с Дивидендами'!$C664</f>
        <v>0.02158543863</v>
      </c>
    </row>
    <row r="665">
      <c r="A665" s="14">
        <v>2011.0</v>
      </c>
      <c r="B665" s="15" t="s">
        <v>141</v>
      </c>
      <c r="C665" s="14">
        <v>25.278</v>
      </c>
      <c r="D665" s="14">
        <v>8.931498676E9</v>
      </c>
      <c r="E665" s="18">
        <v>9.0308169415299E11</v>
      </c>
      <c r="F665" s="14">
        <v>0.25</v>
      </c>
      <c r="G665" s="14">
        <v>1.0</v>
      </c>
      <c r="H665" s="18">
        <v>2.2577042353193E11</v>
      </c>
      <c r="I665" s="14">
        <v>4.68</v>
      </c>
      <c r="J665" s="14">
        <v>0.5</v>
      </c>
      <c r="K665" s="20">
        <f>'Индекс с Дивидендами'!$J665/'Индекс с Дивидендами'!$C665</f>
        <v>0.01978004589</v>
      </c>
    </row>
    <row r="666" hidden="1">
      <c r="A666" s="14">
        <v>2011.0</v>
      </c>
      <c r="B666" s="15" t="s">
        <v>195</v>
      </c>
      <c r="C666" s="14">
        <v>0.8602</v>
      </c>
      <c r="D666" s="14">
        <v>8.547839865E9</v>
      </c>
      <c r="E666" s="18">
        <v>4.084917695657E10</v>
      </c>
      <c r="F666" s="14">
        <v>0.18</v>
      </c>
      <c r="G666" s="14">
        <v>1.0</v>
      </c>
      <c r="H666" s="18">
        <v>7.35285185187E9</v>
      </c>
      <c r="I666" s="14">
        <v>0.15</v>
      </c>
      <c r="J666" s="14"/>
      <c r="K666" s="14">
        <f>'Индекс с Дивидендами'!$J666/'Индекс с Дивидендами'!$C666</f>
        <v>0</v>
      </c>
    </row>
    <row r="667">
      <c r="A667" s="14">
        <v>2011.0</v>
      </c>
      <c r="B667" s="15" t="s">
        <v>94</v>
      </c>
      <c r="C667" s="14">
        <v>59.16</v>
      </c>
      <c r="D667" s="14">
        <v>8.873E8</v>
      </c>
      <c r="E667" s="18">
        <v>5.916E10</v>
      </c>
      <c r="F667" s="14">
        <v>1.0</v>
      </c>
      <c r="G667" s="14">
        <v>0.8873</v>
      </c>
      <c r="H667" s="18">
        <v>5.2492668E10</v>
      </c>
      <c r="I667" s="14">
        <v>1.09</v>
      </c>
      <c r="J667" s="14">
        <v>1.15</v>
      </c>
      <c r="K667" s="20">
        <f>'Индекс с Дивидендами'!$J667/'Индекс с Дивидендами'!$C667</f>
        <v>0.01943881001</v>
      </c>
    </row>
    <row r="668">
      <c r="A668" s="14">
        <v>2011.0</v>
      </c>
      <c r="B668" s="15" t="s">
        <v>132</v>
      </c>
      <c r="C668" s="14">
        <v>213.83</v>
      </c>
      <c r="D668" s="14">
        <v>1.589726672E9</v>
      </c>
      <c r="E668" s="18">
        <v>2.26620836260911E12</v>
      </c>
      <c r="F668" s="14">
        <v>0.15</v>
      </c>
      <c r="G668" s="14">
        <v>1.0</v>
      </c>
      <c r="H668" s="18">
        <v>3.3993125427376E11</v>
      </c>
      <c r="I668" s="14">
        <v>7.05</v>
      </c>
      <c r="J668" s="14">
        <v>2.76</v>
      </c>
      <c r="K668" s="20">
        <f>'Индекс с Дивидендами'!$J668/'Индекс с Дивидендами'!$C668</f>
        <v>0.01290744984</v>
      </c>
    </row>
    <row r="669" hidden="1">
      <c r="A669" s="14">
        <v>2011.0</v>
      </c>
      <c r="B669" s="15" t="s">
        <v>90</v>
      </c>
      <c r="C669" s="14">
        <v>152.03</v>
      </c>
      <c r="D669" s="14">
        <v>1.265601055E9</v>
      </c>
      <c r="E669" s="18">
        <v>4.4746355463607E11</v>
      </c>
      <c r="F669" s="14">
        <v>0.43</v>
      </c>
      <c r="G669" s="14">
        <v>1.0</v>
      </c>
      <c r="H669" s="18">
        <v>1.9240932839165E11</v>
      </c>
      <c r="I669" s="14">
        <v>3.99</v>
      </c>
      <c r="J669" s="14"/>
      <c r="K669" s="14">
        <f>'Индекс с Дивидендами'!$J669/'Индекс с Дивидендами'!$C669</f>
        <v>0</v>
      </c>
    </row>
    <row r="670" hidden="1">
      <c r="A670" s="14">
        <v>2011.0</v>
      </c>
      <c r="B670" s="15" t="s">
        <v>193</v>
      </c>
      <c r="C670" s="14">
        <v>196.01</v>
      </c>
      <c r="D670" s="14">
        <v>1.41968E8</v>
      </c>
      <c r="E670" s="18">
        <v>3.9202E11</v>
      </c>
      <c r="F670" s="14">
        <v>0.08</v>
      </c>
      <c r="G670" s="14">
        <v>0.8873</v>
      </c>
      <c r="H670" s="18">
        <v>2.782714768E10</v>
      </c>
      <c r="I670" s="14">
        <v>0.58</v>
      </c>
      <c r="J670" s="14"/>
      <c r="K670" s="14">
        <f>'Индекс с Дивидендами'!$J670/'Индекс с Дивидендами'!$C670</f>
        <v>0</v>
      </c>
    </row>
    <row r="671">
      <c r="A671" s="14">
        <v>2011.0</v>
      </c>
      <c r="B671" s="15" t="s">
        <v>130</v>
      </c>
      <c r="C671" s="14">
        <v>393.84</v>
      </c>
      <c r="D671" s="14">
        <v>8.80528739E8</v>
      </c>
      <c r="E671" s="18">
        <v>1.19581875504E12</v>
      </c>
      <c r="F671" s="14">
        <v>0.29</v>
      </c>
      <c r="G671" s="14">
        <v>1.0</v>
      </c>
      <c r="H671" s="18">
        <v>3.4678743856776E11</v>
      </c>
      <c r="I671" s="14">
        <v>7.2</v>
      </c>
      <c r="J671" s="14">
        <v>5.0</v>
      </c>
      <c r="K671" s="20">
        <f>'Индекс с Дивидендами'!$J671/'Индекс с Дивидендами'!$C671</f>
        <v>0.01269551087</v>
      </c>
    </row>
    <row r="672">
      <c r="A672" s="14">
        <v>2011.0</v>
      </c>
      <c r="B672" s="15" t="s">
        <v>126</v>
      </c>
      <c r="C672" s="14">
        <v>1.7009</v>
      </c>
      <c r="D672" s="14">
        <v>5.962403955E9</v>
      </c>
      <c r="E672" s="18">
        <v>6.760968591373E10</v>
      </c>
      <c r="F672" s="14">
        <v>0.15</v>
      </c>
      <c r="G672" s="14">
        <v>1.0</v>
      </c>
      <c r="H672" s="18">
        <v>1.014145288706E10</v>
      </c>
      <c r="I672" s="14">
        <v>0.21</v>
      </c>
      <c r="J672" s="14">
        <v>0.02</v>
      </c>
      <c r="K672" s="20">
        <f>'Индекс с Дивидендами'!$J672/'Индекс с Дивидендами'!$C672</f>
        <v>0.0117584808</v>
      </c>
    </row>
    <row r="673">
      <c r="A673" s="14">
        <v>2011.0</v>
      </c>
      <c r="B673" s="15" t="s">
        <v>93</v>
      </c>
      <c r="C673" s="14">
        <v>79.39</v>
      </c>
      <c r="D673" s="14">
        <v>7.661639584E9</v>
      </c>
      <c r="E673" s="18">
        <v>1.71378780172E12</v>
      </c>
      <c r="F673" s="14">
        <v>0.4</v>
      </c>
      <c r="G673" s="14">
        <v>0.8873</v>
      </c>
      <c r="H673" s="18">
        <v>6.0825756657376E11</v>
      </c>
      <c r="I673" s="14">
        <v>12.62</v>
      </c>
      <c r="J673" s="14">
        <v>0.92</v>
      </c>
      <c r="K673" s="20">
        <f>'Индекс с Дивидендами'!$J673/'Индекс с Дивидендами'!$C673</f>
        <v>0.01158836125</v>
      </c>
    </row>
    <row r="674">
      <c r="A674" s="14">
        <v>2011.0</v>
      </c>
      <c r="B674" s="15" t="s">
        <v>9</v>
      </c>
      <c r="C674" s="14">
        <f>0.0587*5000</f>
        <v>293.5</v>
      </c>
      <c r="D674" s="19">
        <v>2.615135334334E12</v>
      </c>
      <c r="E674" s="18">
        <v>6.1413838191511E11</v>
      </c>
      <c r="F674" s="14">
        <v>0.25</v>
      </c>
      <c r="G674" s="14">
        <v>1.0</v>
      </c>
      <c r="H674" s="18">
        <v>1.5353459547875E11</v>
      </c>
      <c r="I674" s="14">
        <v>3.19</v>
      </c>
      <c r="J674" s="14">
        <f>0.00058*5000</f>
        <v>2.9</v>
      </c>
      <c r="K674" s="20">
        <f>'Индекс с Дивидендами'!$J674/'Индекс с Дивидендами'!$C674</f>
        <v>0.009880749574</v>
      </c>
    </row>
    <row r="675">
      <c r="A675" s="14">
        <v>2011.0</v>
      </c>
      <c r="B675" s="15" t="s">
        <v>106</v>
      </c>
      <c r="C675" s="14">
        <v>0.9668</v>
      </c>
      <c r="D675" s="14">
        <v>8.7090810713E10</v>
      </c>
      <c r="E675" s="18">
        <v>2.8066465266002E11</v>
      </c>
      <c r="F675" s="14">
        <v>0.3</v>
      </c>
      <c r="G675" s="14">
        <v>1.0</v>
      </c>
      <c r="H675" s="18">
        <v>8.419939579733E10</v>
      </c>
      <c r="I675" s="14">
        <v>1.75</v>
      </c>
      <c r="J675" s="14">
        <v>0.00860091</v>
      </c>
      <c r="K675" s="20">
        <f>'Индекс с Дивидендами'!$J675/'Индекс с Дивидендами'!$C675</f>
        <v>0.008896266032</v>
      </c>
    </row>
    <row r="676">
      <c r="A676" s="14">
        <v>2011.0</v>
      </c>
      <c r="B676" s="15" t="s">
        <v>108</v>
      </c>
      <c r="C676" s="14">
        <v>0.2811</v>
      </c>
      <c r="D676" s="14">
        <v>2.63749106962E11</v>
      </c>
      <c r="E676" s="18">
        <v>3.5308469733512E11</v>
      </c>
      <c r="F676" s="14">
        <v>0.21</v>
      </c>
      <c r="G676" s="14">
        <v>1.0</v>
      </c>
      <c r="H676" s="18">
        <v>7.414778644023E10</v>
      </c>
      <c r="I676" s="14">
        <v>1.54</v>
      </c>
      <c r="J676" s="14">
        <v>0.002052365</v>
      </c>
      <c r="K676" s="20">
        <f>'Индекс с Дивидендами'!$J676/'Индекс с Дивидендами'!$C676</f>
        <v>0.007301191747</v>
      </c>
    </row>
    <row r="677">
      <c r="A677" s="14">
        <v>2011.0</v>
      </c>
      <c r="B677" s="15" t="s">
        <v>104</v>
      </c>
      <c r="C677" s="14">
        <f>49590/100</f>
        <v>495.9</v>
      </c>
      <c r="D677" s="14">
        <v>1554875.0</v>
      </c>
      <c r="E677" s="18">
        <v>7.710625125E10</v>
      </c>
      <c r="F677" s="14">
        <v>1.0</v>
      </c>
      <c r="G677" s="14">
        <v>1.0</v>
      </c>
      <c r="H677" s="18">
        <v>7.710625125E10</v>
      </c>
      <c r="I677" s="14">
        <v>1.6</v>
      </c>
      <c r="J677" s="14">
        <f>314.73/100</f>
        <v>3.1473</v>
      </c>
      <c r="K677" s="20">
        <f>'Индекс с Дивидендами'!$J677/'Индекс с Дивидендами'!$C677</f>
        <v>0.006346642468</v>
      </c>
    </row>
    <row r="678" hidden="1">
      <c r="A678" s="14">
        <v>2011.0</v>
      </c>
      <c r="B678" s="15" t="s">
        <v>160</v>
      </c>
      <c r="C678" s="14">
        <v>231.54</v>
      </c>
      <c r="D678" s="14">
        <v>1.392587057E9</v>
      </c>
      <c r="E678" s="18">
        <v>7.165324605237E11</v>
      </c>
      <c r="F678" s="14">
        <v>0.45</v>
      </c>
      <c r="G678" s="14">
        <v>1.0</v>
      </c>
      <c r="H678" s="18">
        <v>3.2243960717778E11</v>
      </c>
      <c r="I678" s="14">
        <v>6.69</v>
      </c>
      <c r="J678" s="14"/>
      <c r="K678" s="14">
        <f>'Индекс с Дивидендами'!$J678/'Индекс с Дивидендами'!$C678</f>
        <v>0</v>
      </c>
    </row>
    <row r="679">
      <c r="A679" s="14">
        <v>2011.0</v>
      </c>
      <c r="B679" s="15" t="s">
        <v>147</v>
      </c>
      <c r="C679" s="14">
        <v>2825.1</v>
      </c>
      <c r="D679" s="14">
        <v>2.1354017E7</v>
      </c>
      <c r="E679" s="18">
        <v>2.513634787323E11</v>
      </c>
      <c r="F679" s="14">
        <v>0.24</v>
      </c>
      <c r="G679" s="14">
        <v>1.0</v>
      </c>
      <c r="H679" s="18">
        <v>6.03272334267E10</v>
      </c>
      <c r="I679" s="14">
        <v>1.25</v>
      </c>
      <c r="J679" s="14">
        <v>11.24</v>
      </c>
      <c r="K679" s="20">
        <f>'Индекс с Дивидендами'!$J679/'Индекс с Дивидендами'!$C679</f>
        <v>0.003978620226</v>
      </c>
    </row>
    <row r="680">
      <c r="A680" s="14">
        <v>2010.0</v>
      </c>
      <c r="B680" s="15" t="s">
        <v>142</v>
      </c>
      <c r="C680" s="14">
        <v>15.705</v>
      </c>
      <c r="D680" s="14">
        <v>5.391398764E9</v>
      </c>
      <c r="E680" s="18">
        <v>1.2095988228067E11</v>
      </c>
      <c r="F680" s="14">
        <v>0.7</v>
      </c>
      <c r="G680" s="14">
        <v>1.0</v>
      </c>
      <c r="H680" s="18">
        <v>8.467191758862E10</v>
      </c>
      <c r="I680" s="14">
        <v>1.27</v>
      </c>
      <c r="J680" s="14">
        <v>1.0488</v>
      </c>
      <c r="K680" s="20">
        <f>'Индекс с Дивидендами'!$J680/'Индекс с Дивидендами'!$C680</f>
        <v>0.06678127985</v>
      </c>
    </row>
    <row r="681">
      <c r="A681" s="14">
        <v>2010.0</v>
      </c>
      <c r="B681" s="15" t="s">
        <v>144</v>
      </c>
      <c r="C681" s="14">
        <v>259.77</v>
      </c>
      <c r="D681" s="14">
        <v>9.96663069E8</v>
      </c>
      <c r="E681" s="18">
        <v>5.1780633086826E11</v>
      </c>
      <c r="F681" s="14">
        <v>0.5</v>
      </c>
      <c r="G681" s="14">
        <v>1.0</v>
      </c>
      <c r="H681" s="18">
        <v>2.5890316543413E11</v>
      </c>
      <c r="I681" s="14">
        <v>3.89</v>
      </c>
      <c r="J681" s="14">
        <v>15.4</v>
      </c>
      <c r="K681" s="20">
        <f>'Индекс с Дивидендами'!$J681/'Индекс с Дивидендами'!$C681</f>
        <v>0.05928321207</v>
      </c>
    </row>
    <row r="682" hidden="1">
      <c r="A682" s="14">
        <v>2010.0</v>
      </c>
      <c r="B682" s="15" t="s">
        <v>108</v>
      </c>
      <c r="C682" s="14">
        <v>0.369</v>
      </c>
      <c r="D682" s="14">
        <v>2.71383493381E11</v>
      </c>
      <c r="E682" s="18">
        <v>4.5518413208069E11</v>
      </c>
      <c r="F682" s="14">
        <v>0.22</v>
      </c>
      <c r="G682" s="14">
        <v>1.0</v>
      </c>
      <c r="H682" s="18">
        <v>1.0014050905759E11</v>
      </c>
      <c r="I682" s="14">
        <v>1.51</v>
      </c>
      <c r="J682" s="14"/>
      <c r="K682" s="14">
        <f>'Индекс с Дивидендами'!$J682/'Индекс с Дивидендами'!$C682</f>
        <v>0</v>
      </c>
    </row>
    <row r="683">
      <c r="A683" s="14">
        <v>2010.0</v>
      </c>
      <c r="B683" s="15" t="s">
        <v>136</v>
      </c>
      <c r="C683" s="14">
        <v>148.69</v>
      </c>
      <c r="D683" s="14">
        <v>1.459722769E9</v>
      </c>
      <c r="E683" s="18">
        <v>3.23949520183E11</v>
      </c>
      <c r="F683" s="14">
        <v>0.67</v>
      </c>
      <c r="G683" s="14">
        <v>1.0</v>
      </c>
      <c r="H683" s="18">
        <v>2.1704617852261E11</v>
      </c>
      <c r="I683" s="14">
        <v>3.26</v>
      </c>
      <c r="J683" s="14">
        <v>6.56</v>
      </c>
      <c r="K683" s="20">
        <f>'Индекс с Дивидендами'!$J683/'Индекс с Дивидендами'!$C683</f>
        <v>0.04411863609</v>
      </c>
    </row>
    <row r="684">
      <c r="A684" s="14">
        <v>2010.0</v>
      </c>
      <c r="B684" s="15" t="s">
        <v>78</v>
      </c>
      <c r="C684" s="14">
        <v>1741.99</v>
      </c>
      <c r="D684" s="14">
        <v>5.10784498E8</v>
      </c>
      <c r="E684" s="18">
        <v>1.48167268457745E12</v>
      </c>
      <c r="F684" s="14">
        <v>0.85</v>
      </c>
      <c r="G684" s="14">
        <v>0.7065</v>
      </c>
      <c r="H684" s="18">
        <v>8.8978148767102E11</v>
      </c>
      <c r="I684" s="14">
        <v>13.38</v>
      </c>
      <c r="J684" s="14">
        <v>52.0</v>
      </c>
      <c r="K684" s="20">
        <f>'Индекс с Дивидендами'!$J684/'Индекс с Дивидендами'!$C684</f>
        <v>0.02985091763</v>
      </c>
    </row>
    <row r="685" hidden="1">
      <c r="A685" s="14">
        <v>2010.0</v>
      </c>
      <c r="B685" s="15" t="s">
        <v>106</v>
      </c>
      <c r="C685" s="14">
        <v>1.649</v>
      </c>
      <c r="D685" s="14">
        <v>1.02484263704E11</v>
      </c>
      <c r="E685" s="18">
        <v>4.447277653925E11</v>
      </c>
      <c r="F685" s="14">
        <v>0.38</v>
      </c>
      <c r="G685" s="14">
        <v>1.0</v>
      </c>
      <c r="H685" s="18">
        <v>1.689965508479E11</v>
      </c>
      <c r="I685" s="14">
        <v>2.54</v>
      </c>
      <c r="J685" s="14"/>
      <c r="K685" s="14">
        <f>'Индекс с Дивидендами'!$J685/'Индекс с Дивидендами'!$C685</f>
        <v>0</v>
      </c>
    </row>
    <row r="686" hidden="1">
      <c r="A686" s="14">
        <v>2010.0</v>
      </c>
      <c r="B686" s="15" t="s">
        <v>59</v>
      </c>
      <c r="C686" s="14">
        <f>0.0481*100</f>
        <v>4.81</v>
      </c>
      <c r="D686" s="14">
        <v>8.10047663664E11</v>
      </c>
      <c r="E686" s="18">
        <v>1.3915461650801E11</v>
      </c>
      <c r="F686" s="14">
        <v>0.28</v>
      </c>
      <c r="G686" s="14">
        <v>1.0</v>
      </c>
      <c r="H686" s="18">
        <v>3.896329262224E10</v>
      </c>
      <c r="I686" s="14">
        <v>0.59</v>
      </c>
      <c r="J686" s="14"/>
      <c r="K686" s="14">
        <f>'Индекс с Дивидендами'!$J686/'Индекс с Дивидендами'!$C686</f>
        <v>0</v>
      </c>
    </row>
    <row r="687">
      <c r="A687" s="14">
        <v>2010.0</v>
      </c>
      <c r="B687" s="15" t="s">
        <v>45</v>
      </c>
      <c r="C687" s="14">
        <f>7197/100</f>
        <v>71.97</v>
      </c>
      <c r="D687" s="14">
        <v>9.1501318E7</v>
      </c>
      <c r="E687" s="18">
        <v>1.371947895159E12</v>
      </c>
      <c r="F687" s="14">
        <v>0.48</v>
      </c>
      <c r="G687" s="14">
        <v>1.0</v>
      </c>
      <c r="H687" s="18">
        <v>6.58534985646E11</v>
      </c>
      <c r="I687" s="14">
        <v>9.9</v>
      </c>
      <c r="J687" s="14">
        <f>210/100</f>
        <v>2.1</v>
      </c>
      <c r="K687" s="20">
        <f>'Индекс с Дивидендами'!$J687/'Индекс с Дивидендами'!$C687</f>
        <v>0.02917882451</v>
      </c>
    </row>
    <row r="688">
      <c r="A688" s="14">
        <v>2010.0</v>
      </c>
      <c r="B688" s="15" t="s">
        <v>143</v>
      </c>
      <c r="C688" s="14">
        <v>128.44</v>
      </c>
      <c r="D688" s="14">
        <v>2.37064981E8</v>
      </c>
      <c r="E688" s="18">
        <v>6.0897252563316E11</v>
      </c>
      <c r="F688" s="14">
        <v>0.05</v>
      </c>
      <c r="G688" s="14">
        <v>1.0</v>
      </c>
      <c r="H688" s="18">
        <v>3.044862615964E10</v>
      </c>
      <c r="I688" s="14">
        <v>0.46</v>
      </c>
      <c r="J688" s="14">
        <v>3.57</v>
      </c>
      <c r="K688" s="20">
        <f>'Индекс с Дивидендами'!$J688/'Индекс с Дивидендами'!$C688</f>
        <v>0.02779507941</v>
      </c>
    </row>
    <row r="689" hidden="1">
      <c r="A689" s="14">
        <v>2010.0</v>
      </c>
      <c r="B689" s="15" t="s">
        <v>192</v>
      </c>
      <c r="C689" s="14">
        <v>5.37</v>
      </c>
      <c r="D689" s="14">
        <v>1.3954196354E10</v>
      </c>
      <c r="E689" s="18">
        <v>2.2039421889408E11</v>
      </c>
      <c r="F689" s="14">
        <v>0.34</v>
      </c>
      <c r="G689" s="14">
        <v>1.0</v>
      </c>
      <c r="H689" s="18">
        <v>7.493403442098E10</v>
      </c>
      <c r="I689" s="14">
        <v>1.13</v>
      </c>
      <c r="J689" s="14"/>
      <c r="K689" s="14">
        <f>'Индекс с Дивидендами'!$J689/'Индекс с Дивидендами'!$C689</f>
        <v>0</v>
      </c>
    </row>
    <row r="690">
      <c r="A690" s="14">
        <v>2010.0</v>
      </c>
      <c r="B690" s="15" t="s">
        <v>145</v>
      </c>
      <c r="C690" s="14">
        <v>333.64</v>
      </c>
      <c r="D690" s="14">
        <v>1.09307016E9</v>
      </c>
      <c r="E690" s="18">
        <v>1.01303313384E12</v>
      </c>
      <c r="F690" s="14">
        <v>0.36</v>
      </c>
      <c r="G690" s="14">
        <v>1.0</v>
      </c>
      <c r="H690" s="18">
        <v>3.646919281824E11</v>
      </c>
      <c r="I690" s="14">
        <v>5.48</v>
      </c>
      <c r="J690" s="14">
        <v>5.75</v>
      </c>
      <c r="K690" s="20">
        <f>'Индекс с Дивидендами'!$J690/'Индекс с Дивидендами'!$C690</f>
        <v>0.01723414459</v>
      </c>
    </row>
    <row r="691">
      <c r="A691" s="14">
        <v>2010.0</v>
      </c>
      <c r="B691" s="15" t="s">
        <v>90</v>
      </c>
      <c r="C691" s="14">
        <v>156.41</v>
      </c>
      <c r="D691" s="14">
        <v>1.384523E8</v>
      </c>
      <c r="E691" s="18">
        <v>1.139753914112E11</v>
      </c>
      <c r="F691" s="14">
        <v>0.19</v>
      </c>
      <c r="G691" s="14">
        <v>1.0</v>
      </c>
      <c r="H691" s="18">
        <v>2.1655324243E10</v>
      </c>
      <c r="I691" s="14">
        <v>0.33</v>
      </c>
      <c r="J691" s="14">
        <v>2.5115</v>
      </c>
      <c r="K691" s="20">
        <f>'Индекс с Дивидендами'!$J691/'Индекс с Дивидендами'!$C691</f>
        <v>0.01605715747</v>
      </c>
    </row>
    <row r="692">
      <c r="A692" s="14">
        <v>2010.0</v>
      </c>
      <c r="B692" s="15" t="s">
        <v>141</v>
      </c>
      <c r="C692" s="14">
        <v>32.48</v>
      </c>
      <c r="D692" s="14">
        <v>7.502458888E9</v>
      </c>
      <c r="E692" s="18">
        <v>1.1603803080184E12</v>
      </c>
      <c r="F692" s="14">
        <v>0.21</v>
      </c>
      <c r="G692" s="14">
        <v>1.0</v>
      </c>
      <c r="H692" s="18">
        <v>2.4367986468224E11</v>
      </c>
      <c r="I692" s="14">
        <v>3.66</v>
      </c>
      <c r="J692" s="14">
        <v>0.45</v>
      </c>
      <c r="K692" s="20">
        <f>'Индекс с Дивидендами'!$J692/'Индекс с Дивидендами'!$C692</f>
        <v>0.0138546798</v>
      </c>
    </row>
    <row r="693">
      <c r="A693" s="14">
        <v>2010.0</v>
      </c>
      <c r="B693" s="15" t="s">
        <v>43</v>
      </c>
      <c r="C693" s="14">
        <v>193.9</v>
      </c>
      <c r="D693" s="14">
        <v>5.455797782E9</v>
      </c>
      <c r="E693" s="18">
        <v>4.59029415131E12</v>
      </c>
      <c r="F693" s="14">
        <v>0.46</v>
      </c>
      <c r="G693" s="14">
        <v>0.501</v>
      </c>
      <c r="H693" s="18">
        <v>1.0578791899298E12</v>
      </c>
      <c r="I693" s="14">
        <v>15.91</v>
      </c>
      <c r="J693" s="14">
        <v>2.39</v>
      </c>
      <c r="K693" s="20">
        <f>'Индекс с Дивидендами'!$J693/'Индекс с Дивидендами'!$C693</f>
        <v>0.01232594121</v>
      </c>
    </row>
    <row r="694" hidden="1">
      <c r="A694" s="14">
        <v>2010.0</v>
      </c>
      <c r="B694" s="15" t="s">
        <v>195</v>
      </c>
      <c r="C694" s="14">
        <v>1.739</v>
      </c>
      <c r="D694" s="14">
        <v>1.1871999813E10</v>
      </c>
      <c r="E694" s="18">
        <v>8.258163069923E10</v>
      </c>
      <c r="F694" s="14">
        <v>0.25</v>
      </c>
      <c r="G694" s="14">
        <v>1.0</v>
      </c>
      <c r="H694" s="18">
        <v>2.064540767481E10</v>
      </c>
      <c r="I694" s="14">
        <v>0.31</v>
      </c>
      <c r="J694" s="14"/>
      <c r="K694" s="14">
        <f>'Индекс с Дивидендами'!$J694/'Индекс с Дивидендами'!$C694</f>
        <v>0</v>
      </c>
    </row>
    <row r="695">
      <c r="A695" s="14">
        <v>2010.0</v>
      </c>
      <c r="B695" s="15" t="s">
        <v>69</v>
      </c>
      <c r="C695" s="14">
        <v>32.907</v>
      </c>
      <c r="D695" s="14">
        <v>1.3409196E9</v>
      </c>
      <c r="E695" s="18">
        <v>3.6771367731E11</v>
      </c>
      <c r="F695" s="14">
        <v>0.12</v>
      </c>
      <c r="G695" s="14">
        <v>1.0</v>
      </c>
      <c r="H695" s="18">
        <v>4.41256412772E10</v>
      </c>
      <c r="I695" s="14">
        <v>0.66</v>
      </c>
      <c r="J695" s="14">
        <v>0.37</v>
      </c>
      <c r="K695" s="20">
        <f>'Индекс с Дивидендами'!$J695/'Индекс с Дивидендами'!$C695</f>
        <v>0.01124380831</v>
      </c>
    </row>
    <row r="696" hidden="1">
      <c r="A696" s="14">
        <v>2010.0</v>
      </c>
      <c r="B696" s="15" t="s">
        <v>196</v>
      </c>
      <c r="C696" s="14">
        <v>574.16</v>
      </c>
      <c r="D696" s="14">
        <v>1.837125E8</v>
      </c>
      <c r="E696" s="18">
        <v>2.2930515E11</v>
      </c>
      <c r="F696" s="14">
        <v>0.46</v>
      </c>
      <c r="G696" s="14">
        <v>1.0</v>
      </c>
      <c r="H696" s="18">
        <v>1.05480369E11</v>
      </c>
      <c r="I696" s="14">
        <v>1.59</v>
      </c>
      <c r="J696" s="14"/>
      <c r="K696" s="14">
        <f>'Индекс с Дивидендами'!$J696/'Индекс с Дивидендами'!$C696</f>
        <v>0</v>
      </c>
    </row>
    <row r="697" hidden="1">
      <c r="A697" s="14">
        <v>2010.0</v>
      </c>
      <c r="B697" s="15" t="s">
        <v>146</v>
      </c>
      <c r="C697" s="14">
        <v>214.69</v>
      </c>
      <c r="D697" s="14">
        <v>1.56159961E8</v>
      </c>
      <c r="E697" s="18">
        <v>1.6762991077952E11</v>
      </c>
      <c r="F697" s="14">
        <v>0.2</v>
      </c>
      <c r="G697" s="14">
        <v>1.0</v>
      </c>
      <c r="H697" s="18">
        <v>3.352598202709E10</v>
      </c>
      <c r="I697" s="14">
        <v>0.5</v>
      </c>
      <c r="J697" s="14"/>
      <c r="K697" s="14">
        <f>'Индекс с Дивидендами'!$J697/'Индекс с Дивидендами'!$C697</f>
        <v>0</v>
      </c>
    </row>
    <row r="698">
      <c r="A698" s="14">
        <v>2010.0</v>
      </c>
      <c r="B698" s="15" t="s">
        <v>132</v>
      </c>
      <c r="C698" s="14">
        <v>219.29</v>
      </c>
      <c r="D698" s="14">
        <v>1.589726672E9</v>
      </c>
      <c r="E698" s="18">
        <v>2.32407441348993E12</v>
      </c>
      <c r="F698" s="14">
        <v>0.15</v>
      </c>
      <c r="G698" s="14">
        <v>1.0</v>
      </c>
      <c r="H698" s="18">
        <v>3.4861116190288E11</v>
      </c>
      <c r="I698" s="14">
        <v>5.24</v>
      </c>
      <c r="J698" s="14">
        <v>2.3</v>
      </c>
      <c r="K698" s="20">
        <f>'Индекс с Дивидендами'!$J698/'Индекс с Дивидендами'!$C698</f>
        <v>0.01048839436</v>
      </c>
    </row>
    <row r="699">
      <c r="A699" s="14">
        <v>2010.0</v>
      </c>
      <c r="B699" s="15" t="s">
        <v>88</v>
      </c>
      <c r="C699" s="14">
        <f>1928.29/50</f>
        <v>38.5658</v>
      </c>
      <c r="D699" s="14">
        <v>9.5313873E7</v>
      </c>
      <c r="E699" s="18">
        <v>3.6758557826263E11</v>
      </c>
      <c r="F699" s="14">
        <v>0.5</v>
      </c>
      <c r="G699" s="14">
        <v>1.0</v>
      </c>
      <c r="H699" s="18">
        <v>1.8379278816717E11</v>
      </c>
      <c r="I699" s="14">
        <v>2.76</v>
      </c>
      <c r="J699" s="14">
        <f>17.8/50</f>
        <v>0.356</v>
      </c>
      <c r="K699" s="20">
        <f>'Индекс с Дивидендами'!$J699/'Индекс с Дивидендами'!$C699</f>
        <v>0.009230976668</v>
      </c>
    </row>
    <row r="700">
      <c r="A700" s="14">
        <v>2010.0</v>
      </c>
      <c r="B700" s="15" t="s">
        <v>96</v>
      </c>
      <c r="C700" s="14">
        <v>519.74</v>
      </c>
      <c r="D700" s="14">
        <v>4.03080542E8</v>
      </c>
      <c r="E700" s="18">
        <v>5.237427022477E11</v>
      </c>
      <c r="F700" s="14">
        <v>0.4</v>
      </c>
      <c r="G700" s="14">
        <v>1.0</v>
      </c>
      <c r="H700" s="18">
        <v>2.0949708089908E11</v>
      </c>
      <c r="I700" s="14">
        <v>3.15</v>
      </c>
      <c r="J700" s="14">
        <v>4.29</v>
      </c>
      <c r="K700" s="20">
        <f>'Индекс с Дивидендами'!$J700/'Индекс с Дивидендами'!$C700</f>
        <v>0.008254127064</v>
      </c>
    </row>
    <row r="701">
      <c r="A701" s="14">
        <v>2010.0</v>
      </c>
      <c r="B701" s="15" t="s">
        <v>104</v>
      </c>
      <c r="C701" s="14">
        <f>37738.79/100</f>
        <v>377.3879</v>
      </c>
      <c r="D701" s="14">
        <v>1523777.0</v>
      </c>
      <c r="E701" s="18">
        <v>5.867910110125E10</v>
      </c>
      <c r="F701" s="14">
        <v>0.98</v>
      </c>
      <c r="G701" s="14">
        <v>1.0</v>
      </c>
      <c r="H701" s="18">
        <v>5.750510020983E10</v>
      </c>
      <c r="I701" s="14">
        <v>0.86</v>
      </c>
      <c r="J701" s="14">
        <f>250.39/100</f>
        <v>2.5039</v>
      </c>
      <c r="K701" s="20">
        <f>'Индекс с Дивидендами'!$J701/'Индекс с Дивидендами'!$C701</f>
        <v>0.006634817915</v>
      </c>
    </row>
    <row r="702">
      <c r="A702" s="14">
        <v>2010.0</v>
      </c>
      <c r="B702" s="15" t="s">
        <v>94</v>
      </c>
      <c r="C702" s="14">
        <v>75.06</v>
      </c>
      <c r="D702" s="14">
        <v>9.01416E8</v>
      </c>
      <c r="E702" s="18">
        <v>7.506E10</v>
      </c>
      <c r="F702" s="14">
        <v>0.92</v>
      </c>
      <c r="G702" s="14">
        <v>0.9798</v>
      </c>
      <c r="H702" s="18">
        <v>6.766028496E10</v>
      </c>
      <c r="I702" s="14">
        <v>1.02</v>
      </c>
      <c r="J702" s="14">
        <v>0.45</v>
      </c>
      <c r="K702" s="20">
        <f>'Индекс с Дивидендами'!$J702/'Индекс с Дивидендами'!$C702</f>
        <v>0.005995203837</v>
      </c>
    </row>
    <row r="703">
      <c r="A703" s="14">
        <v>2010.0</v>
      </c>
      <c r="B703" s="15" t="s">
        <v>82</v>
      </c>
      <c r="C703" s="14">
        <v>144.87</v>
      </c>
      <c r="D703" s="14">
        <v>8.98984086E8</v>
      </c>
      <c r="E703" s="18">
        <v>8.682388302588E11</v>
      </c>
      <c r="F703" s="14">
        <v>0.15</v>
      </c>
      <c r="G703" s="14">
        <v>1.0</v>
      </c>
      <c r="H703" s="18">
        <v>1.3023582453882E11</v>
      </c>
      <c r="I703" s="14">
        <v>1.96</v>
      </c>
      <c r="J703" s="14">
        <v>0.84</v>
      </c>
      <c r="K703" s="20">
        <f>'Индекс с Дивидендами'!$J703/'Индекс с Дивидендами'!$C703</f>
        <v>0.005798301926</v>
      </c>
    </row>
    <row r="704">
      <c r="A704" s="14">
        <v>2010.0</v>
      </c>
      <c r="B704" s="15" t="s">
        <v>9</v>
      </c>
      <c r="C704" s="14">
        <f>0.101*5000</f>
        <v>505</v>
      </c>
      <c r="D704" s="19">
        <v>1.464475787227E12</v>
      </c>
      <c r="E704" s="18">
        <v>1.05651467507114E12</v>
      </c>
      <c r="F704" s="14">
        <v>0.14</v>
      </c>
      <c r="G704" s="14">
        <v>1.0</v>
      </c>
      <c r="H704" s="18">
        <v>1.4791205450993E11</v>
      </c>
      <c r="I704" s="14">
        <v>2.22</v>
      </c>
      <c r="J704" s="14">
        <f>0.00058*5000</f>
        <v>2.9</v>
      </c>
      <c r="K704" s="20">
        <f>'Индекс с Дивидендами'!$J704/'Индекс с Дивидендами'!$C704</f>
        <v>0.005742574257</v>
      </c>
    </row>
    <row r="705">
      <c r="A705" s="14">
        <v>2010.0</v>
      </c>
      <c r="B705" s="15" t="s">
        <v>39</v>
      </c>
      <c r="C705" s="14">
        <v>79.9</v>
      </c>
      <c r="D705" s="14">
        <v>2.55441748E8</v>
      </c>
      <c r="E705" s="18">
        <v>8.87382422901E10</v>
      </c>
      <c r="F705" s="14">
        <v>0.23</v>
      </c>
      <c r="G705" s="14">
        <v>1.0</v>
      </c>
      <c r="H705" s="18">
        <v>2.04097956652E10</v>
      </c>
      <c r="I705" s="14">
        <v>0.31</v>
      </c>
      <c r="J705" s="14">
        <v>0.3497</v>
      </c>
      <c r="K705" s="20">
        <f>'Индекс с Дивидендами'!$J705/'Индекс с Дивидендами'!$C705</f>
        <v>0.004376720901</v>
      </c>
    </row>
    <row r="706">
      <c r="A706" s="14">
        <v>2010.0</v>
      </c>
      <c r="B706" s="15" t="s">
        <v>126</v>
      </c>
      <c r="C706" s="14">
        <v>3.221</v>
      </c>
      <c r="D706" s="14">
        <v>7.94987194E9</v>
      </c>
      <c r="E706" s="18">
        <v>1.280326875937E11</v>
      </c>
      <c r="F706" s="14">
        <v>0.2</v>
      </c>
      <c r="G706" s="14">
        <v>1.0</v>
      </c>
      <c r="H706" s="18">
        <v>2.560653751874E10</v>
      </c>
      <c r="I706" s="14">
        <v>0.39</v>
      </c>
      <c r="J706" s="14">
        <v>0.01262335</v>
      </c>
      <c r="K706" s="20">
        <f>'Индекс с Дивидендами'!$J706/'Индекс с Дивидендами'!$C706</f>
        <v>0.003919077926</v>
      </c>
    </row>
    <row r="707" hidden="1">
      <c r="A707" s="14">
        <v>2010.0</v>
      </c>
      <c r="B707" s="15" t="s">
        <v>160</v>
      </c>
      <c r="C707" s="14">
        <v>219.9</v>
      </c>
      <c r="D707" s="14">
        <v>7.222926E8</v>
      </c>
      <c r="E707" s="18">
        <v>4.67153361E11</v>
      </c>
      <c r="F707" s="14">
        <v>0.34</v>
      </c>
      <c r="G707" s="14">
        <v>1.0</v>
      </c>
      <c r="H707" s="18">
        <v>1.5883214274E11</v>
      </c>
      <c r="I707" s="14">
        <v>2.39</v>
      </c>
      <c r="J707" s="14"/>
      <c r="K707" s="14">
        <f>'Индекс с Дивидендами'!$J707/'Индекс с Дивидендами'!$C707</f>
        <v>0</v>
      </c>
    </row>
    <row r="708" hidden="1">
      <c r="A708" s="14">
        <v>2010.0</v>
      </c>
      <c r="B708" s="15" t="s">
        <v>197</v>
      </c>
      <c r="C708" s="14">
        <v>1.436</v>
      </c>
      <c r="D708" s="14">
        <v>1.5826403189E10</v>
      </c>
      <c r="E708" s="18">
        <v>4.638105098072E10</v>
      </c>
      <c r="F708" s="14">
        <v>0.49</v>
      </c>
      <c r="G708" s="14">
        <v>1.0</v>
      </c>
      <c r="H708" s="18">
        <v>2.27267149794E10</v>
      </c>
      <c r="I708" s="14">
        <v>0.34</v>
      </c>
      <c r="J708" s="14"/>
      <c r="K708" s="14">
        <f>'Индекс с Дивидендами'!$J708/'Индекс с Дивидендами'!$C708</f>
        <v>0</v>
      </c>
    </row>
    <row r="709">
      <c r="A709" s="14">
        <v>2010.0</v>
      </c>
      <c r="B709" s="15" t="s">
        <v>93</v>
      </c>
      <c r="C709" s="14">
        <v>104.67</v>
      </c>
      <c r="D709" s="14">
        <v>8.248847743E9</v>
      </c>
      <c r="E709" s="18">
        <v>2.25950584716E12</v>
      </c>
      <c r="F709" s="14">
        <v>0.39</v>
      </c>
      <c r="G709" s="14">
        <v>0.9798</v>
      </c>
      <c r="H709" s="18">
        <v>8.6340689325981E11</v>
      </c>
      <c r="I709" s="14">
        <v>12.98</v>
      </c>
      <c r="J709" s="14">
        <v>0.08</v>
      </c>
      <c r="K709" s="20">
        <f>'Индекс с Дивидендами'!$J709/'Индекс с Дивидендами'!$C709</f>
        <v>0.0007643068692</v>
      </c>
    </row>
    <row r="710">
      <c r="A710" s="14">
        <v>2009.0</v>
      </c>
      <c r="B710" s="15" t="s">
        <v>144</v>
      </c>
      <c r="C710" s="14">
        <v>219.46</v>
      </c>
      <c r="D710" s="14">
        <v>1.116262637E9</v>
      </c>
      <c r="E710" s="18">
        <v>4.3745535424548E11</v>
      </c>
      <c r="F710" s="14">
        <v>0.56</v>
      </c>
      <c r="G710" s="14">
        <v>1.0</v>
      </c>
      <c r="H710" s="18">
        <v>2.4497499831602E11</v>
      </c>
      <c r="I710" s="14">
        <v>5.15</v>
      </c>
      <c r="J710" s="14">
        <v>20.2</v>
      </c>
      <c r="K710" s="20">
        <f>'Индекс с Дивидендами'!$J710/'Индекс с Дивидендами'!$C710</f>
        <v>0.09204410827</v>
      </c>
    </row>
    <row r="711" hidden="1">
      <c r="A711" s="14">
        <v>2009.0</v>
      </c>
      <c r="B711" s="15" t="s">
        <v>96</v>
      </c>
      <c r="C711" s="14">
        <v>253.01</v>
      </c>
      <c r="D711" s="14">
        <v>2.51925338E8</v>
      </c>
      <c r="E711" s="18">
        <v>2.5495851982855E11</v>
      </c>
      <c r="F711" s="14">
        <v>0.25</v>
      </c>
      <c r="G711" s="14">
        <v>1.0</v>
      </c>
      <c r="H711" s="18">
        <v>6.373962975738E10</v>
      </c>
      <c r="I711" s="14">
        <v>1.34</v>
      </c>
      <c r="J711" s="14"/>
      <c r="K711" s="14">
        <f>'Индекс с Дивидендами'!$J711/'Индекс с Дивидендами'!$C711</f>
        <v>0</v>
      </c>
    </row>
    <row r="712" hidden="1">
      <c r="A712" s="14">
        <v>2009.0</v>
      </c>
      <c r="B712" s="15" t="s">
        <v>108</v>
      </c>
      <c r="C712" s="14">
        <v>0.32</v>
      </c>
      <c r="D712" s="14">
        <v>2.53773123199E11</v>
      </c>
      <c r="E712" s="18">
        <v>3.6912454283584E11</v>
      </c>
      <c r="F712" s="14">
        <v>0.22</v>
      </c>
      <c r="G712" s="14">
        <v>1.0</v>
      </c>
      <c r="H712" s="18">
        <v>8.120739942368E10</v>
      </c>
      <c r="I712" s="14">
        <v>1.71</v>
      </c>
      <c r="J712" s="14"/>
      <c r="K712" s="14">
        <f>'Индекс с Дивидендами'!$J712/'Индекс с Дивидендами'!$C712</f>
        <v>0</v>
      </c>
    </row>
    <row r="713">
      <c r="A713" s="14">
        <v>2009.0</v>
      </c>
      <c r="B713" s="15" t="s">
        <v>142</v>
      </c>
      <c r="C713" s="14">
        <v>14.6</v>
      </c>
      <c r="D713" s="14">
        <v>4.082059064E9</v>
      </c>
      <c r="E713" s="18">
        <v>1.12449174231E11</v>
      </c>
      <c r="F713" s="14">
        <v>0.53</v>
      </c>
      <c r="G713" s="14">
        <v>1.0</v>
      </c>
      <c r="H713" s="18">
        <v>5.95980623344E10</v>
      </c>
      <c r="I713" s="14">
        <v>1.25</v>
      </c>
      <c r="J713" s="14">
        <v>1.326</v>
      </c>
      <c r="K713" s="20">
        <f>'Индекс с Дивидендами'!$J713/'Индекс с Дивидендами'!$C713</f>
        <v>0.09082191781</v>
      </c>
    </row>
    <row r="714" hidden="1">
      <c r="A714" s="14">
        <v>2009.0</v>
      </c>
      <c r="B714" s="15" t="s">
        <v>45</v>
      </c>
      <c r="C714" s="14">
        <f>4244.49/100</f>
        <v>42.4449</v>
      </c>
      <c r="D714" s="14">
        <v>8.7688763E7</v>
      </c>
      <c r="E714" s="18">
        <v>8.0911756586403E11</v>
      </c>
      <c r="F714" s="14">
        <v>0.46</v>
      </c>
      <c r="G714" s="14">
        <v>1.0</v>
      </c>
      <c r="H714" s="18">
        <v>3.7219407766587E11</v>
      </c>
      <c r="I714" s="14">
        <v>7.83</v>
      </c>
      <c r="J714" s="14"/>
      <c r="K714" s="14">
        <f>'Индекс с Дивидендами'!$J714/'Индекс с Дивидендами'!$C714</f>
        <v>0</v>
      </c>
    </row>
    <row r="715" hidden="1">
      <c r="A715" s="14">
        <v>2009.0</v>
      </c>
      <c r="B715" s="15" t="s">
        <v>106</v>
      </c>
      <c r="C715" s="14">
        <v>1.142</v>
      </c>
      <c r="D715" s="14">
        <v>1.02484263704E11</v>
      </c>
      <c r="E715" s="18">
        <v>3.0799218197588E11</v>
      </c>
      <c r="F715" s="14">
        <v>0.38</v>
      </c>
      <c r="G715" s="14">
        <v>1.0</v>
      </c>
      <c r="H715" s="18">
        <v>1.1703702914997E11</v>
      </c>
      <c r="I715" s="14">
        <v>2.46</v>
      </c>
      <c r="J715" s="14"/>
      <c r="K715" s="14">
        <f>'Индекс с Дивидендами'!$J715/'Индекс с Дивидендами'!$C715</f>
        <v>0</v>
      </c>
    </row>
    <row r="716">
      <c r="A716" s="14">
        <v>2009.0</v>
      </c>
      <c r="B716" s="15" t="s">
        <v>143</v>
      </c>
      <c r="C716" s="14">
        <v>162.7</v>
      </c>
      <c r="D716" s="14">
        <v>2.37064981E8</v>
      </c>
      <c r="E716" s="18">
        <v>7.714094512653E11</v>
      </c>
      <c r="F716" s="14">
        <v>0.05</v>
      </c>
      <c r="G716" s="14">
        <v>1.0</v>
      </c>
      <c r="H716" s="18">
        <v>3.85704724087E10</v>
      </c>
      <c r="I716" s="14">
        <v>0.81</v>
      </c>
      <c r="J716" s="14">
        <v>5.4</v>
      </c>
      <c r="K716" s="20">
        <f>'Индекс с Дивидендами'!$J716/'Индекс с Дивидендами'!$C716</f>
        <v>0.0331899201</v>
      </c>
    </row>
    <row r="717" hidden="1">
      <c r="A717" s="14">
        <v>2009.0</v>
      </c>
      <c r="B717" s="15" t="s">
        <v>69</v>
      </c>
      <c r="C717" s="14">
        <v>25.527</v>
      </c>
      <c r="D717" s="14">
        <v>1.3409196E9</v>
      </c>
      <c r="E717" s="18">
        <v>2.8524712191E11</v>
      </c>
      <c r="F717" s="14">
        <v>0.12</v>
      </c>
      <c r="G717" s="14">
        <v>1.0</v>
      </c>
      <c r="H717" s="18">
        <v>3.42296546292E10</v>
      </c>
      <c r="I717" s="14">
        <v>0.72</v>
      </c>
      <c r="J717" s="14"/>
      <c r="K717" s="14">
        <f>'Индекс с Дивидендами'!$J717/'Индекс с Дивидендами'!$C717</f>
        <v>0</v>
      </c>
    </row>
    <row r="718" hidden="1">
      <c r="A718" s="14">
        <v>2009.0</v>
      </c>
      <c r="B718" s="15" t="s">
        <v>126</v>
      </c>
      <c r="C718" s="14">
        <v>3.311</v>
      </c>
      <c r="D718" s="14">
        <v>7.94987194E9</v>
      </c>
      <c r="E718" s="18">
        <v>1.316101299667E11</v>
      </c>
      <c r="F718" s="14">
        <v>0.2</v>
      </c>
      <c r="G718" s="14">
        <v>1.0</v>
      </c>
      <c r="H718" s="18">
        <v>2.632202599334E10</v>
      </c>
      <c r="I718" s="14">
        <v>0.55</v>
      </c>
      <c r="J718" s="14"/>
      <c r="K718" s="14">
        <f>'Индекс с Дивидендами'!$J718/'Индекс с Дивидендами'!$C718</f>
        <v>0</v>
      </c>
    </row>
    <row r="719">
      <c r="A719" s="14">
        <v>2009.0</v>
      </c>
      <c r="B719" s="15" t="s">
        <v>136</v>
      </c>
      <c r="C719" s="14">
        <v>139.03</v>
      </c>
      <c r="D719" s="14">
        <v>1.329001327E9</v>
      </c>
      <c r="E719" s="18">
        <v>3.02903368021E11</v>
      </c>
      <c r="F719" s="14">
        <v>0.61</v>
      </c>
      <c r="G719" s="14">
        <v>1.0</v>
      </c>
      <c r="H719" s="18">
        <v>1.8477105449281E11</v>
      </c>
      <c r="I719" s="14">
        <v>3.89</v>
      </c>
      <c r="J719" s="14">
        <v>4.42</v>
      </c>
      <c r="K719" s="20">
        <f>'Индекс с Дивидендами'!$J719/'Индекс с Дивидендами'!$C719</f>
        <v>0.03179169963</v>
      </c>
    </row>
    <row r="720" hidden="1">
      <c r="A720" s="14">
        <v>2009.0</v>
      </c>
      <c r="B720" s="15" t="s">
        <v>82</v>
      </c>
      <c r="C720" s="14">
        <v>91.05</v>
      </c>
      <c r="D720" s="14">
        <v>8.98984086E8</v>
      </c>
      <c r="E720" s="18">
        <v>5.45683340202E11</v>
      </c>
      <c r="F720" s="14">
        <v>0.15</v>
      </c>
      <c r="G720" s="14">
        <v>1.0</v>
      </c>
      <c r="H720" s="18">
        <v>8.18525010303E10</v>
      </c>
      <c r="I720" s="14">
        <v>1.72</v>
      </c>
      <c r="J720" s="14"/>
      <c r="K720" s="14">
        <f>'Индекс с Дивидендами'!$J720/'Индекс с Дивидендами'!$C720</f>
        <v>0</v>
      </c>
    </row>
    <row r="721">
      <c r="A721" s="14">
        <v>2009.0</v>
      </c>
      <c r="B721" s="15" t="s">
        <v>78</v>
      </c>
      <c r="C721" s="14">
        <v>1688.75</v>
      </c>
      <c r="D721" s="14">
        <v>3.758605E8</v>
      </c>
      <c r="E721" s="18">
        <v>1.43638869688125E12</v>
      </c>
      <c r="F721" s="14">
        <v>0.91</v>
      </c>
      <c r="G721" s="14">
        <v>0.4856</v>
      </c>
      <c r="H721" s="18">
        <v>6.34734419375E11</v>
      </c>
      <c r="I721" s="14">
        <v>13.35</v>
      </c>
      <c r="J721" s="14">
        <v>50.0</v>
      </c>
      <c r="K721" s="20">
        <f>'Индекс с Дивидендами'!$J721/'Индекс с Дивидендами'!$C721</f>
        <v>0.029607698</v>
      </c>
    </row>
    <row r="722" hidden="1">
      <c r="A722" s="14">
        <v>2009.0</v>
      </c>
      <c r="B722" s="15" t="s">
        <v>195</v>
      </c>
      <c r="C722" s="14">
        <v>1.461</v>
      </c>
      <c r="D722" s="14">
        <v>1.1871999813E10</v>
      </c>
      <c r="E722" s="18">
        <v>6.937996690717E10</v>
      </c>
      <c r="F722" s="14">
        <v>0.25</v>
      </c>
      <c r="G722" s="14">
        <v>1.0</v>
      </c>
      <c r="H722" s="18">
        <v>1.734499172679E10</v>
      </c>
      <c r="I722" s="14">
        <v>0.36</v>
      </c>
      <c r="J722" s="14"/>
      <c r="K722" s="14">
        <f>'Индекс с Дивидендами'!$J722/'Индекс с Дивидендами'!$C722</f>
        <v>0</v>
      </c>
    </row>
    <row r="723" hidden="1">
      <c r="A723" s="14">
        <v>2009.0</v>
      </c>
      <c r="B723" s="15" t="s">
        <v>198</v>
      </c>
      <c r="C723" s="14">
        <v>2.147</v>
      </c>
      <c r="D723" s="14">
        <v>4.244627804E9</v>
      </c>
      <c r="E723" s="18">
        <v>7.594346580039E10</v>
      </c>
      <c r="F723" s="14">
        <v>0.12</v>
      </c>
      <c r="G723" s="14">
        <v>1.0</v>
      </c>
      <c r="H723" s="18">
        <v>9.11321589519E9</v>
      </c>
      <c r="I723" s="14">
        <v>0.19</v>
      </c>
      <c r="J723" s="14"/>
      <c r="K723" s="14">
        <f>'Индекс с Дивидендами'!$J723/'Индекс с Дивидендами'!$C723</f>
        <v>0</v>
      </c>
    </row>
    <row r="724">
      <c r="A724" s="14">
        <v>2009.0</v>
      </c>
      <c r="B724" s="15" t="s">
        <v>141</v>
      </c>
      <c r="C724" s="14">
        <v>26.634</v>
      </c>
      <c r="D724" s="14">
        <v>5.716159152E9</v>
      </c>
      <c r="E724" s="18">
        <v>9.5152614297297E11</v>
      </c>
      <c r="F724" s="14">
        <v>0.16</v>
      </c>
      <c r="G724" s="14">
        <v>1.0</v>
      </c>
      <c r="H724" s="18">
        <v>1.5224418285437E11</v>
      </c>
      <c r="I724" s="14">
        <v>3.2</v>
      </c>
      <c r="J724" s="14">
        <v>0.6</v>
      </c>
      <c r="K724" s="20">
        <f>'Индекс с Дивидендами'!$J724/'Индекс с Дивидендами'!$C724</f>
        <v>0.02252759631</v>
      </c>
    </row>
    <row r="725" hidden="1">
      <c r="A725" s="14">
        <v>2009.0</v>
      </c>
      <c r="B725" s="15" t="s">
        <v>196</v>
      </c>
      <c r="C725" s="14">
        <v>280.86</v>
      </c>
      <c r="D725" s="14">
        <v>7.245E7</v>
      </c>
      <c r="E725" s="18">
        <v>8.84709E10</v>
      </c>
      <c r="F725" s="14">
        <v>0.23</v>
      </c>
      <c r="G725" s="14">
        <v>1.0</v>
      </c>
      <c r="H725" s="18">
        <v>2.0348307E10</v>
      </c>
      <c r="I725" s="14">
        <v>0.43</v>
      </c>
      <c r="J725" s="14"/>
      <c r="K725" s="14">
        <f>'Индекс с Дивидендами'!$J725/'Индекс с Дивидендами'!$C725</f>
        <v>0</v>
      </c>
    </row>
    <row r="726" hidden="1">
      <c r="A726" s="14">
        <v>2009.0</v>
      </c>
      <c r="B726" s="15" t="s">
        <v>146</v>
      </c>
      <c r="C726" s="14">
        <v>145.99</v>
      </c>
      <c r="D726" s="14">
        <v>1.56159961E8</v>
      </c>
      <c r="E726" s="18">
        <v>1.1398896396992E11</v>
      </c>
      <c r="F726" s="14">
        <v>0.2</v>
      </c>
      <c r="G726" s="14">
        <v>1.0</v>
      </c>
      <c r="H726" s="18">
        <v>2.279779270639E10</v>
      </c>
      <c r="I726" s="14">
        <v>0.48</v>
      </c>
      <c r="J726" s="14"/>
      <c r="K726" s="14">
        <f>'Индекс с Дивидендами'!$J726/'Индекс с Дивидендами'!$C726</f>
        <v>0</v>
      </c>
    </row>
    <row r="727">
      <c r="A727" s="14">
        <v>2009.0</v>
      </c>
      <c r="B727" s="15" t="s">
        <v>90</v>
      </c>
      <c r="C727" s="14">
        <v>148.43</v>
      </c>
      <c r="D727" s="14">
        <v>3.27913344E8</v>
      </c>
      <c r="E727" s="18">
        <v>1.081603947776E11</v>
      </c>
      <c r="F727" s="14">
        <v>0.45</v>
      </c>
      <c r="G727" s="14">
        <v>1.0</v>
      </c>
      <c r="H727" s="18">
        <v>4.867217764992E10</v>
      </c>
      <c r="I727" s="14">
        <v>1.02</v>
      </c>
      <c r="J727" s="14">
        <v>1.941</v>
      </c>
      <c r="K727" s="20">
        <f>'Индекс с Дивидендами'!$J727/'Индекс с Дивидендами'!$C727</f>
        <v>0.01307687125</v>
      </c>
    </row>
    <row r="728">
      <c r="A728" s="14">
        <v>2009.0</v>
      </c>
      <c r="B728" s="15" t="s">
        <v>104</v>
      </c>
      <c r="C728" s="14">
        <f>23712.74/100</f>
        <v>237.1274</v>
      </c>
      <c r="D728" s="14">
        <v>1523777.0</v>
      </c>
      <c r="E728" s="18">
        <v>3.68703466075E10</v>
      </c>
      <c r="F728" s="14">
        <v>0.98</v>
      </c>
      <c r="G728" s="14">
        <v>1.0</v>
      </c>
      <c r="H728" s="18">
        <v>3.613292781898E10</v>
      </c>
      <c r="I728" s="14">
        <v>0.76</v>
      </c>
      <c r="J728" s="14">
        <f>236.78/100</f>
        <v>2.3678</v>
      </c>
      <c r="K728" s="20">
        <f>'Индекс с Дивидендами'!$J728/'Индекс с Дивидендами'!$C728</f>
        <v>0.009985349647</v>
      </c>
    </row>
    <row r="729">
      <c r="A729" s="14">
        <v>2009.0</v>
      </c>
      <c r="B729" s="15" t="s">
        <v>94</v>
      </c>
      <c r="C729" s="14">
        <v>68.74</v>
      </c>
      <c r="D729" s="14">
        <v>9.2E8</v>
      </c>
      <c r="E729" s="18">
        <v>6.374E10</v>
      </c>
      <c r="F729" s="14">
        <v>0.92</v>
      </c>
      <c r="G729" s="14">
        <v>1.0</v>
      </c>
      <c r="H729" s="18">
        <v>6.32408E10</v>
      </c>
      <c r="I729" s="14">
        <v>1.33</v>
      </c>
      <c r="J729" s="14">
        <v>0.63</v>
      </c>
      <c r="K729" s="20">
        <f>'Индекс с Дивидендами'!$J729/'Индекс с Дивидендами'!$C729</f>
        <v>0.00916496945</v>
      </c>
    </row>
    <row r="730">
      <c r="A730" s="14">
        <v>2009.0</v>
      </c>
      <c r="B730" s="15" t="s">
        <v>145</v>
      </c>
      <c r="C730" s="14">
        <v>169.99</v>
      </c>
      <c r="D730" s="14">
        <v>1.18415934E9</v>
      </c>
      <c r="E730" s="18">
        <v>5.1614165694E11</v>
      </c>
      <c r="F730" s="14">
        <v>0.39</v>
      </c>
      <c r="G730" s="14">
        <v>1.0</v>
      </c>
      <c r="H730" s="18">
        <v>2.012952462066E11</v>
      </c>
      <c r="I730" s="14">
        <v>4.23</v>
      </c>
      <c r="J730" s="14">
        <v>1.52</v>
      </c>
      <c r="K730" s="20">
        <f>'Индекс с Дивидендами'!$J730/'Индекс с Дивидендами'!$C730</f>
        <v>0.008941702453</v>
      </c>
    </row>
    <row r="731">
      <c r="A731" s="14">
        <v>2009.0</v>
      </c>
      <c r="B731" s="15" t="s">
        <v>132</v>
      </c>
      <c r="C731" s="14">
        <v>250.74</v>
      </c>
      <c r="D731" s="14">
        <v>1.589726672E9</v>
      </c>
      <c r="E731" s="18">
        <v>2.65738710583458E12</v>
      </c>
      <c r="F731" s="14">
        <v>0.15</v>
      </c>
      <c r="G731" s="14">
        <v>1.0</v>
      </c>
      <c r="H731" s="18">
        <v>3.9860806573728E11</v>
      </c>
      <c r="I731" s="14">
        <v>8.38</v>
      </c>
      <c r="J731" s="14">
        <v>1.92</v>
      </c>
      <c r="K731" s="20">
        <f>'Индекс с Дивидендами'!$J731/'Индекс с Дивидендами'!$C731</f>
        <v>0.007657334291</v>
      </c>
    </row>
    <row r="732">
      <c r="A732" s="14">
        <v>2009.0</v>
      </c>
      <c r="B732" s="15" t="s">
        <v>9</v>
      </c>
      <c r="C732" s="14">
        <f>0.0695*5000</f>
        <v>347.5</v>
      </c>
      <c r="D732" s="19">
        <v>2.301319094214E12</v>
      </c>
      <c r="E732" s="18">
        <v>7.2700762294499E11</v>
      </c>
      <c r="F732" s="14">
        <v>0.22</v>
      </c>
      <c r="G732" s="14">
        <v>1.0</v>
      </c>
      <c r="H732" s="18">
        <v>1.5994167704787E11</v>
      </c>
      <c r="I732" s="14">
        <v>3.36</v>
      </c>
      <c r="J732" s="14">
        <f>0.000447*5000</f>
        <v>2.235</v>
      </c>
      <c r="K732" s="20">
        <f>'Индекс с Дивидендами'!$J732/'Индекс с Дивидендами'!$C732</f>
        <v>0.006431654676</v>
      </c>
    </row>
    <row r="733">
      <c r="A733" s="14">
        <v>2009.0</v>
      </c>
      <c r="B733" s="15" t="s">
        <v>93</v>
      </c>
      <c r="C733" s="14">
        <v>81.82</v>
      </c>
      <c r="D733" s="14">
        <v>8.41890972E9</v>
      </c>
      <c r="E733" s="18">
        <v>1.76624408536E12</v>
      </c>
      <c r="F733" s="14">
        <v>0.39</v>
      </c>
      <c r="G733" s="14">
        <v>1.0</v>
      </c>
      <c r="H733" s="18">
        <v>6.888351932904E11</v>
      </c>
      <c r="I733" s="14">
        <v>14.49</v>
      </c>
      <c r="J733" s="14">
        <v>0.48</v>
      </c>
      <c r="K733" s="20">
        <f>'Индекс с Дивидендами'!$J733/'Индекс с Дивидендами'!$C733</f>
        <v>0.005866536299</v>
      </c>
    </row>
    <row r="734">
      <c r="A734" s="14">
        <v>2009.0</v>
      </c>
      <c r="B734" s="15" t="s">
        <v>88</v>
      </c>
      <c r="C734" s="14">
        <f>1585.45/50</f>
        <v>31.709</v>
      </c>
      <c r="D734" s="14">
        <v>1.2772059E8</v>
      </c>
      <c r="E734" s="18">
        <v>3.0223076148115E11</v>
      </c>
      <c r="F734" s="14">
        <v>0.67</v>
      </c>
      <c r="G734" s="14">
        <v>1.0</v>
      </c>
      <c r="H734" s="18">
        <v>2.024946094155E11</v>
      </c>
      <c r="I734" s="14">
        <v>4.26</v>
      </c>
      <c r="J734" s="14">
        <f>6.55/50</f>
        <v>0.131</v>
      </c>
      <c r="K734" s="20">
        <f>'Индекс с Дивидендами'!$J734/'Индекс с Дивидендами'!$C734</f>
        <v>0.004131319184</v>
      </c>
    </row>
    <row r="735">
      <c r="A735" s="14">
        <v>2009.0</v>
      </c>
      <c r="B735" s="15" t="s">
        <v>39</v>
      </c>
      <c r="C735" s="14">
        <v>53.12</v>
      </c>
      <c r="D735" s="14">
        <v>2.66547911E8</v>
      </c>
      <c r="E735" s="18">
        <v>5.899593780288E10</v>
      </c>
      <c r="F735" s="14">
        <v>0.24</v>
      </c>
      <c r="G735" s="14">
        <v>1.0</v>
      </c>
      <c r="H735" s="18">
        <v>1.41590250323E10</v>
      </c>
      <c r="I735" s="14">
        <v>0.3</v>
      </c>
      <c r="J735" s="14">
        <v>0.1818</v>
      </c>
      <c r="K735" s="20">
        <f>'Индекс с Дивидендами'!$J735/'Индекс с Дивидендами'!$C735</f>
        <v>0.003422439759</v>
      </c>
    </row>
    <row r="736" hidden="1">
      <c r="A736" s="14">
        <v>2009.0</v>
      </c>
      <c r="B736" s="15" t="s">
        <v>160</v>
      </c>
      <c r="C736" s="14">
        <v>126.09</v>
      </c>
      <c r="D736" s="14">
        <v>7.222926E8</v>
      </c>
      <c r="E736" s="18">
        <v>2.678643351E11</v>
      </c>
      <c r="F736" s="14">
        <v>0.34</v>
      </c>
      <c r="G736" s="14">
        <v>1.0</v>
      </c>
      <c r="H736" s="18">
        <v>9.1073873934E10</v>
      </c>
      <c r="I736" s="14">
        <v>1.92</v>
      </c>
      <c r="J736" s="14"/>
      <c r="K736" s="14">
        <f>'Индекс с Дивидендами'!$J736/'Индекс с Дивидендами'!$C736</f>
        <v>0</v>
      </c>
    </row>
    <row r="737" hidden="1">
      <c r="A737" s="14">
        <v>2009.0</v>
      </c>
      <c r="B737" s="15" t="s">
        <v>197</v>
      </c>
      <c r="C737" s="14">
        <v>0.785</v>
      </c>
      <c r="D737" s="14">
        <v>1.2919512808E10</v>
      </c>
      <c r="E737" s="18">
        <v>2.53545438857E10</v>
      </c>
      <c r="F737" s="14">
        <v>0.4</v>
      </c>
      <c r="G737" s="14">
        <v>1.0</v>
      </c>
      <c r="H737" s="18">
        <v>1.014181755428E10</v>
      </c>
      <c r="I737" s="14">
        <v>0.21</v>
      </c>
      <c r="J737" s="14"/>
      <c r="K737" s="14">
        <f>'Индекс с Дивидендами'!$J737/'Индекс с Дивидендами'!$C737</f>
        <v>0</v>
      </c>
    </row>
    <row r="738">
      <c r="A738" s="14">
        <v>2009.0</v>
      </c>
      <c r="B738" s="15" t="s">
        <v>43</v>
      </c>
      <c r="C738" s="14">
        <v>181.69</v>
      </c>
      <c r="D738" s="14">
        <v>3.689161882E9</v>
      </c>
      <c r="E738" s="18">
        <v>4.301240558801E12</v>
      </c>
      <c r="F738" s="14">
        <v>0.45</v>
      </c>
      <c r="G738" s="14">
        <v>0.3463</v>
      </c>
      <c r="H738" s="18">
        <v>6.7028382234058E11</v>
      </c>
      <c r="I738" s="14">
        <v>14.09</v>
      </c>
      <c r="J738" s="14">
        <v>0.36</v>
      </c>
      <c r="K738" s="20">
        <f>'Индекс с Дивидендами'!$J738/'Индекс с Дивидендами'!$C738</f>
        <v>0.001981396885</v>
      </c>
    </row>
    <row r="739" hidden="1">
      <c r="A739" s="14">
        <v>2009.0</v>
      </c>
      <c r="B739" s="15" t="s">
        <v>199</v>
      </c>
      <c r="C739" s="14">
        <v>88.06</v>
      </c>
      <c r="D739" s="14">
        <v>1.08226619E8</v>
      </c>
      <c r="E739" s="18">
        <v>2.16600820954E10</v>
      </c>
      <c r="F739" s="14">
        <v>0.44</v>
      </c>
      <c r="G739" s="14">
        <v>1.0</v>
      </c>
      <c r="H739" s="18">
        <v>9.53043606914E9</v>
      </c>
      <c r="I739" s="14">
        <v>0.2</v>
      </c>
      <c r="J739" s="14"/>
      <c r="K739" s="14">
        <f>'Индекс с Дивидендами'!$J739/'Индекс с Дивидендами'!$C739</f>
        <v>0</v>
      </c>
    </row>
    <row r="740">
      <c r="A740" s="14">
        <v>2008.0</v>
      </c>
      <c r="B740" s="15" t="s">
        <v>96</v>
      </c>
      <c r="C740" s="14">
        <v>83.68</v>
      </c>
      <c r="D740" s="14">
        <v>0.0</v>
      </c>
      <c r="E740" s="18">
        <v>0.0</v>
      </c>
      <c r="F740" s="14">
        <v>0.09</v>
      </c>
      <c r="G740" s="14">
        <v>1.0</v>
      </c>
      <c r="H740" s="18">
        <v>0.0</v>
      </c>
      <c r="I740" s="14">
        <v>0.51</v>
      </c>
      <c r="J740" s="14">
        <v>34.72</v>
      </c>
      <c r="K740" s="20">
        <f>'Индекс с Дивидендами'!$J740/'Индекс с Дивидендами'!$C740</f>
        <v>0.4149139579</v>
      </c>
    </row>
    <row r="741">
      <c r="A741" s="14">
        <v>2008.0</v>
      </c>
      <c r="B741" s="15" t="s">
        <v>146</v>
      </c>
      <c r="C741" s="14">
        <v>30.31</v>
      </c>
      <c r="D741" s="14">
        <v>0.0</v>
      </c>
      <c r="E741" s="18">
        <v>0.0</v>
      </c>
      <c r="F741" s="14">
        <v>0.2</v>
      </c>
      <c r="G741" s="14">
        <v>1.0</v>
      </c>
      <c r="H741" s="18">
        <v>0.0</v>
      </c>
      <c r="I741" s="14">
        <v>0.32</v>
      </c>
      <c r="J741" s="14">
        <v>5.25</v>
      </c>
      <c r="K741" s="20">
        <f>'Индекс с Дивидендами'!$J741/'Индекс с Дивидендами'!$C741</f>
        <v>0.1732101617</v>
      </c>
    </row>
    <row r="742">
      <c r="A742" s="14">
        <v>2008.0</v>
      </c>
      <c r="B742" s="15" t="s">
        <v>69</v>
      </c>
      <c r="C742" s="14">
        <v>5.702</v>
      </c>
      <c r="D742" s="14">
        <v>0.0</v>
      </c>
      <c r="E742" s="18">
        <v>0.0</v>
      </c>
      <c r="F742" s="14">
        <v>0.12</v>
      </c>
      <c r="G742" s="14">
        <v>1.0</v>
      </c>
      <c r="H742" s="18">
        <v>0.0</v>
      </c>
      <c r="I742" s="14">
        <v>0.52</v>
      </c>
      <c r="J742" s="14">
        <v>0.884</v>
      </c>
      <c r="K742" s="20">
        <f>'Индекс с Дивидендами'!$J742/'Индекс с Дивидендами'!$C742</f>
        <v>0.1550333216</v>
      </c>
    </row>
    <row r="743">
      <c r="A743" s="14">
        <v>2008.0</v>
      </c>
      <c r="B743" s="15" t="s">
        <v>142</v>
      </c>
      <c r="C743" s="14">
        <v>5.999</v>
      </c>
      <c r="D743" s="14">
        <v>0.0</v>
      </c>
      <c r="E743" s="18">
        <v>0.0</v>
      </c>
      <c r="F743" s="14">
        <v>0.53</v>
      </c>
      <c r="G743" s="14">
        <v>1.0</v>
      </c>
      <c r="H743" s="18">
        <v>0.0</v>
      </c>
      <c r="I743" s="14">
        <v>1.66</v>
      </c>
      <c r="J743" s="14">
        <v>0.82</v>
      </c>
      <c r="K743" s="20">
        <f>'Индекс с Дивидендами'!$J743/'Индекс с Дивидендами'!$C743</f>
        <v>0.1366894482</v>
      </c>
    </row>
    <row r="744" hidden="1">
      <c r="A744" s="14">
        <v>2008.0</v>
      </c>
      <c r="B744" s="15" t="s">
        <v>106</v>
      </c>
      <c r="C744" s="14">
        <v>0.588</v>
      </c>
      <c r="D744" s="14">
        <v>0.0</v>
      </c>
      <c r="E744" s="18">
        <v>0.0</v>
      </c>
      <c r="F744" s="14">
        <v>0.39</v>
      </c>
      <c r="G744" s="14">
        <v>1.0</v>
      </c>
      <c r="H744" s="18">
        <v>0.0</v>
      </c>
      <c r="I744" s="14">
        <v>3.8</v>
      </c>
      <c r="J744" s="14"/>
      <c r="K744" s="14">
        <f>'Индекс с Дивидендами'!$J744/'Индекс с Дивидендами'!$C744</f>
        <v>0</v>
      </c>
    </row>
    <row r="745">
      <c r="A745" s="14">
        <v>2008.0</v>
      </c>
      <c r="B745" s="15" t="s">
        <v>144</v>
      </c>
      <c r="C745" s="14">
        <v>110.57</v>
      </c>
      <c r="D745" s="14">
        <v>0.0</v>
      </c>
      <c r="E745" s="18">
        <v>0.0</v>
      </c>
      <c r="F745" s="14">
        <v>0.15</v>
      </c>
      <c r="G745" s="14">
        <v>1.0</v>
      </c>
      <c r="H745" s="18">
        <v>0.0</v>
      </c>
      <c r="I745" s="14">
        <v>2.24</v>
      </c>
      <c r="J745" s="14">
        <v>14.8</v>
      </c>
      <c r="K745" s="20">
        <f>'Индекс с Дивидендами'!$J745/'Индекс с Дивидендами'!$C745</f>
        <v>0.1338518586</v>
      </c>
    </row>
    <row r="746">
      <c r="A746" s="14">
        <v>2008.0</v>
      </c>
      <c r="B746" s="15" t="s">
        <v>82</v>
      </c>
      <c r="C746" s="14">
        <v>29.1</v>
      </c>
      <c r="D746" s="14">
        <v>0.0</v>
      </c>
      <c r="E746" s="18">
        <v>0.0</v>
      </c>
      <c r="F746" s="14">
        <v>0.15</v>
      </c>
      <c r="G746" s="14">
        <v>1.0</v>
      </c>
      <c r="H746" s="18">
        <v>0.0</v>
      </c>
      <c r="I746" s="14">
        <v>1.77</v>
      </c>
      <c r="J746" s="14">
        <v>3.5</v>
      </c>
      <c r="K746" s="20">
        <f>'Индекс с Дивидендами'!$J746/'Индекс с Дивидендами'!$C746</f>
        <v>0.1202749141</v>
      </c>
    </row>
    <row r="747" hidden="1">
      <c r="A747" s="14">
        <v>2008.0</v>
      </c>
      <c r="B747" s="15" t="s">
        <v>126</v>
      </c>
      <c r="C747" s="14">
        <v>0.937</v>
      </c>
      <c r="D747" s="14">
        <v>0.0</v>
      </c>
      <c r="E747" s="18">
        <v>0.0</v>
      </c>
      <c r="F747" s="14">
        <v>0.1</v>
      </c>
      <c r="G747" s="14">
        <v>1.0</v>
      </c>
      <c r="H747" s="18">
        <v>0.0</v>
      </c>
      <c r="I747" s="14">
        <v>0.25</v>
      </c>
      <c r="J747" s="14"/>
      <c r="K747" s="14">
        <f>'Индекс с Дивидендами'!$J747/'Индекс с Дивидендами'!$C747</f>
        <v>0</v>
      </c>
    </row>
    <row r="748">
      <c r="A748" s="14">
        <v>2008.0</v>
      </c>
      <c r="B748" s="15" t="s">
        <v>136</v>
      </c>
      <c r="C748" s="14">
        <v>55.94</v>
      </c>
      <c r="D748" s="14">
        <v>0.0</v>
      </c>
      <c r="E748" s="18">
        <v>0.0</v>
      </c>
      <c r="F748" s="14">
        <v>0.4</v>
      </c>
      <c r="G748" s="14">
        <v>1.0</v>
      </c>
      <c r="H748" s="18">
        <v>0.0</v>
      </c>
      <c r="I748" s="14">
        <v>3.3</v>
      </c>
      <c r="J748" s="14">
        <v>5.65</v>
      </c>
      <c r="K748" s="20">
        <f>'Индекс с Дивидендами'!$J748/'Индекс с Дивидендами'!$C748</f>
        <v>0.1010010726</v>
      </c>
    </row>
    <row r="749">
      <c r="A749" s="14">
        <v>2008.0</v>
      </c>
      <c r="B749" s="15" t="s">
        <v>143</v>
      </c>
      <c r="C749" s="14">
        <v>62.86</v>
      </c>
      <c r="D749" s="14">
        <v>0.0</v>
      </c>
      <c r="E749" s="18">
        <v>0.0</v>
      </c>
      <c r="F749" s="14">
        <v>0.07</v>
      </c>
      <c r="G749" s="14">
        <v>1.0</v>
      </c>
      <c r="H749" s="18">
        <v>0.0</v>
      </c>
      <c r="I749" s="14">
        <v>1.41</v>
      </c>
      <c r="J749" s="14">
        <v>5.4</v>
      </c>
      <c r="K749" s="20">
        <f>'Индекс с Дивидендами'!$J749/'Индекс с Дивидендами'!$C749</f>
        <v>0.08590518613</v>
      </c>
    </row>
    <row r="750">
      <c r="A750" s="14">
        <v>2008.0</v>
      </c>
      <c r="B750" s="15" t="s">
        <v>94</v>
      </c>
      <c r="C750" s="14">
        <v>9.1</v>
      </c>
      <c r="D750" s="14">
        <v>0.0</v>
      </c>
      <c r="E750" s="18">
        <v>0.0</v>
      </c>
      <c r="F750" s="14">
        <v>0.92</v>
      </c>
      <c r="G750" s="14">
        <v>1.0</v>
      </c>
      <c r="H750" s="18">
        <v>0.0</v>
      </c>
      <c r="I750" s="14">
        <v>0.57</v>
      </c>
      <c r="J750" s="14">
        <v>0.65</v>
      </c>
      <c r="K750" s="20">
        <f>'Индекс с Дивидендами'!$J750/'Индекс с Дивидендами'!$C750</f>
        <v>0.07142857143</v>
      </c>
    </row>
    <row r="751" hidden="1">
      <c r="A751" s="14">
        <v>2008.0</v>
      </c>
      <c r="B751" s="15" t="s">
        <v>195</v>
      </c>
      <c r="C751" s="14">
        <v>0.36</v>
      </c>
      <c r="D751" s="14">
        <v>0.0</v>
      </c>
      <c r="E751" s="18">
        <v>0.0</v>
      </c>
      <c r="F751" s="14">
        <v>0.08</v>
      </c>
      <c r="G751" s="14">
        <v>1.0</v>
      </c>
      <c r="H751" s="18">
        <v>0.0</v>
      </c>
      <c r="I751" s="14">
        <v>0.09</v>
      </c>
      <c r="J751" s="14"/>
      <c r="K751" s="14">
        <f>'Индекс с Дивидендами'!$J751/'Индекс с Дивидендами'!$C751</f>
        <v>0</v>
      </c>
    </row>
    <row r="752" hidden="1">
      <c r="A752" s="14">
        <v>2008.0</v>
      </c>
      <c r="B752" s="15" t="s">
        <v>198</v>
      </c>
      <c r="C752" s="14">
        <v>1.028</v>
      </c>
      <c r="D752" s="14">
        <v>0.0</v>
      </c>
      <c r="E752" s="18">
        <v>0.0</v>
      </c>
      <c r="F752" s="14">
        <v>0.15</v>
      </c>
      <c r="G752" s="14">
        <v>1.0</v>
      </c>
      <c r="H752" s="18">
        <v>0.0</v>
      </c>
      <c r="I752" s="14">
        <v>0.37</v>
      </c>
      <c r="J752" s="14"/>
      <c r="K752" s="14">
        <f>'Индекс с Дивидендами'!$J752/'Индекс с Дивидендами'!$C752</f>
        <v>0</v>
      </c>
    </row>
    <row r="753">
      <c r="A753" s="14">
        <v>2008.0</v>
      </c>
      <c r="B753" s="15" t="s">
        <v>45</v>
      </c>
      <c r="C753" s="14">
        <f>2004.98/100</f>
        <v>20.0498</v>
      </c>
      <c r="D753" s="14">
        <v>0.0</v>
      </c>
      <c r="E753" s="18">
        <v>0.0</v>
      </c>
      <c r="F753" s="14">
        <v>0.19</v>
      </c>
      <c r="G753" s="14">
        <v>1.0</v>
      </c>
      <c r="H753" s="18">
        <v>0.0</v>
      </c>
      <c r="I753" s="14">
        <v>4.92</v>
      </c>
      <c r="J753" s="14">
        <f>112/100</f>
        <v>1.12</v>
      </c>
      <c r="K753" s="20">
        <f>'Индекс с Дивидендами'!$J753/'Индекс с Дивидендами'!$C753</f>
        <v>0.05586090634</v>
      </c>
    </row>
    <row r="754" hidden="1">
      <c r="A754" s="14">
        <v>2008.0</v>
      </c>
      <c r="B754" s="15" t="s">
        <v>196</v>
      </c>
      <c r="C754" s="14">
        <v>127.58</v>
      </c>
      <c r="D754" s="14">
        <v>0.0</v>
      </c>
      <c r="E754" s="18">
        <v>0.0</v>
      </c>
      <c r="F754" s="14">
        <v>0.32</v>
      </c>
      <c r="G754" s="14">
        <v>1.0</v>
      </c>
      <c r="H754" s="18">
        <v>0.0</v>
      </c>
      <c r="I754" s="14">
        <v>0.87</v>
      </c>
      <c r="J754" s="14"/>
      <c r="K754" s="14">
        <f>'Индекс с Дивидендами'!$J754/'Индекс с Дивидендами'!$C754</f>
        <v>0</v>
      </c>
    </row>
    <row r="755">
      <c r="A755" s="14">
        <v>2008.0</v>
      </c>
      <c r="B755" s="15" t="s">
        <v>145</v>
      </c>
      <c r="C755" s="14">
        <v>46.97</v>
      </c>
      <c r="D755" s="14">
        <v>0.0</v>
      </c>
      <c r="E755" s="18">
        <v>0.0</v>
      </c>
      <c r="F755" s="14">
        <v>0.39</v>
      </c>
      <c r="G755" s="14">
        <v>1.0</v>
      </c>
      <c r="H755" s="18">
        <v>0.0</v>
      </c>
      <c r="I755" s="14">
        <v>3.77</v>
      </c>
      <c r="J755" s="14">
        <v>2.52</v>
      </c>
      <c r="K755" s="20">
        <f>'Индекс с Дивидендами'!$J755/'Индекс с Дивидендами'!$C755</f>
        <v>0.05365126677</v>
      </c>
    </row>
    <row r="756" hidden="1">
      <c r="A756" s="14">
        <v>2008.0</v>
      </c>
      <c r="B756" s="15" t="s">
        <v>200</v>
      </c>
      <c r="C756" s="14">
        <v>16.01</v>
      </c>
      <c r="D756" s="14">
        <v>0.0</v>
      </c>
      <c r="E756" s="18">
        <v>0.0</v>
      </c>
      <c r="F756" s="14">
        <v>0.55</v>
      </c>
      <c r="G756" s="14">
        <v>1.0</v>
      </c>
      <c r="H756" s="18">
        <v>0.0</v>
      </c>
      <c r="I756" s="14">
        <v>0.08</v>
      </c>
      <c r="J756" s="14"/>
      <c r="K756" s="14">
        <f>'Индекс с Дивидендами'!$J756/'Индекс с Дивидендами'!$C756</f>
        <v>0</v>
      </c>
    </row>
    <row r="757">
      <c r="A757" s="14">
        <v>2008.0</v>
      </c>
      <c r="B757" s="15" t="s">
        <v>39</v>
      </c>
      <c r="C757" s="14">
        <v>27.13</v>
      </c>
      <c r="D757" s="14">
        <v>0.0</v>
      </c>
      <c r="E757" s="18">
        <v>0.0</v>
      </c>
      <c r="F757" s="14">
        <v>0.22</v>
      </c>
      <c r="G757" s="14">
        <v>1.0</v>
      </c>
      <c r="H757" s="18">
        <v>0.0</v>
      </c>
      <c r="I757" s="14">
        <v>0.45</v>
      </c>
      <c r="J757" s="14">
        <v>1.367</v>
      </c>
      <c r="K757" s="20">
        <f>'Индекс с Дивидендами'!$J757/'Индекс с Дивидендами'!$C757</f>
        <v>0.05038702543</v>
      </c>
    </row>
    <row r="758">
      <c r="A758" s="14">
        <v>2008.0</v>
      </c>
      <c r="B758" s="15" t="s">
        <v>78</v>
      </c>
      <c r="C758" s="14">
        <v>948.3</v>
      </c>
      <c r="D758" s="14">
        <v>0.0</v>
      </c>
      <c r="E758" s="18">
        <v>0.0</v>
      </c>
      <c r="F758" s="14">
        <v>0.49</v>
      </c>
      <c r="G758" s="14">
        <v>0.6074</v>
      </c>
      <c r="H758" s="18">
        <v>0.0</v>
      </c>
      <c r="I758" s="14">
        <v>16.25</v>
      </c>
      <c r="J758" s="14">
        <v>42.0</v>
      </c>
      <c r="K758" s="20">
        <f>'Индекс с Дивидендами'!$J758/'Индекс с Дивидендами'!$C758</f>
        <v>0.04428978171</v>
      </c>
    </row>
    <row r="759">
      <c r="A759" s="14">
        <v>2008.0</v>
      </c>
      <c r="B759" s="15" t="s">
        <v>9</v>
      </c>
      <c r="C759" s="14">
        <f>0.0338*5000</f>
        <v>169</v>
      </c>
      <c r="D759" s="19">
        <v>0.0</v>
      </c>
      <c r="E759" s="18">
        <v>0.0</v>
      </c>
      <c r="F759" s="14">
        <v>0.22</v>
      </c>
      <c r="G759" s="14">
        <v>1.0</v>
      </c>
      <c r="H759" s="18">
        <v>0.0</v>
      </c>
      <c r="I759" s="14">
        <v>3.39</v>
      </c>
      <c r="J759" s="14">
        <f>0.00134*5000</f>
        <v>6.7</v>
      </c>
      <c r="K759" s="20">
        <f>'Индекс с Дивидендами'!$J759/'Индекс с Дивидендами'!$C759</f>
        <v>0.03964497041</v>
      </c>
    </row>
    <row r="760">
      <c r="A760" s="14">
        <v>2008.0</v>
      </c>
      <c r="B760" s="15" t="s">
        <v>104</v>
      </c>
      <c r="C760" s="14">
        <f>6798.25/100</f>
        <v>67.9825</v>
      </c>
      <c r="D760" s="14">
        <v>0.0</v>
      </c>
      <c r="E760" s="18">
        <v>0.0</v>
      </c>
      <c r="F760" s="14">
        <v>0.8</v>
      </c>
      <c r="G760" s="14">
        <v>1.0</v>
      </c>
      <c r="H760" s="18">
        <v>0.0</v>
      </c>
      <c r="I760" s="14">
        <v>0.57</v>
      </c>
      <c r="J760" s="14">
        <f>258.54/100</f>
        <v>2.5854</v>
      </c>
      <c r="K760" s="20">
        <f>'Индекс с Дивидендами'!$J760/'Индекс с Дивидендами'!$C760</f>
        <v>0.03803037546</v>
      </c>
    </row>
    <row r="761">
      <c r="A761" s="14">
        <v>2008.0</v>
      </c>
      <c r="B761" s="15" t="s">
        <v>141</v>
      </c>
      <c r="C761" s="14">
        <v>16.553</v>
      </c>
      <c r="D761" s="14">
        <v>0.0</v>
      </c>
      <c r="E761" s="18">
        <v>0.0</v>
      </c>
      <c r="F761" s="14">
        <v>0.16</v>
      </c>
      <c r="G761" s="14">
        <v>1.0</v>
      </c>
      <c r="H761" s="18">
        <v>0.0</v>
      </c>
      <c r="I761" s="14">
        <v>6.41</v>
      </c>
      <c r="J761" s="14">
        <v>0.6</v>
      </c>
      <c r="K761" s="20">
        <f>'Индекс с Дивидендами'!$J761/'Индекс с Дивидендами'!$C761</f>
        <v>0.03624720594</v>
      </c>
    </row>
    <row r="762">
      <c r="A762" s="14">
        <v>2008.0</v>
      </c>
      <c r="B762" s="15" t="s">
        <v>43</v>
      </c>
      <c r="C762" s="14">
        <v>108.59</v>
      </c>
      <c r="D762" s="14">
        <v>0.0</v>
      </c>
      <c r="E762" s="18">
        <v>0.0</v>
      </c>
      <c r="F762" s="14">
        <v>0.31</v>
      </c>
      <c r="G762" s="14">
        <v>0.2537</v>
      </c>
      <c r="H762" s="18">
        <v>0.0</v>
      </c>
      <c r="I762" s="14">
        <v>13.69</v>
      </c>
      <c r="J762" s="14">
        <v>2.66</v>
      </c>
      <c r="K762" s="20">
        <f>'Индекс с Дивидендами'!$J762/'Индекс с Дивидендами'!$C762</f>
        <v>0.02449580993</v>
      </c>
    </row>
    <row r="763">
      <c r="A763" s="14">
        <v>2008.0</v>
      </c>
      <c r="B763" s="15" t="s">
        <v>93</v>
      </c>
      <c r="C763" s="14">
        <v>22.99</v>
      </c>
      <c r="D763" s="14">
        <v>0.0</v>
      </c>
      <c r="E763" s="18">
        <v>0.0</v>
      </c>
      <c r="F763" s="14">
        <v>0.39</v>
      </c>
      <c r="G763" s="14">
        <v>1.0</v>
      </c>
      <c r="H763" s="18">
        <v>0.0</v>
      </c>
      <c r="I763" s="14">
        <v>13.1</v>
      </c>
      <c r="J763" s="14">
        <v>0.51</v>
      </c>
      <c r="K763" s="20">
        <f>'Индекс с Дивидендами'!$J763/'Индекс с Дивидендами'!$C763</f>
        <v>0.02218355807</v>
      </c>
    </row>
    <row r="764">
      <c r="A764" s="14">
        <v>2008.0</v>
      </c>
      <c r="B764" s="15" t="s">
        <v>132</v>
      </c>
      <c r="C764" s="14">
        <v>112.4</v>
      </c>
      <c r="D764" s="14">
        <v>0.0</v>
      </c>
      <c r="E764" s="18">
        <v>0.0</v>
      </c>
      <c r="F764" s="14">
        <v>0.15</v>
      </c>
      <c r="G764" s="14">
        <v>1.0</v>
      </c>
      <c r="H764" s="18">
        <v>0.0</v>
      </c>
      <c r="I764" s="14">
        <v>10.91</v>
      </c>
      <c r="J764" s="14">
        <v>1.6</v>
      </c>
      <c r="K764" s="20">
        <f>'Индекс с Дивидендами'!$J764/'Индекс с Дивидендами'!$C764</f>
        <v>0.01423487544</v>
      </c>
    </row>
    <row r="765">
      <c r="A765" s="14">
        <v>2008.0</v>
      </c>
      <c r="B765" s="15" t="s">
        <v>90</v>
      </c>
      <c r="C765" s="14">
        <v>268.9</v>
      </c>
      <c r="D765" s="14">
        <v>0.0</v>
      </c>
      <c r="E765" s="18">
        <v>0.0</v>
      </c>
      <c r="F765" s="14">
        <v>0.17</v>
      </c>
      <c r="G765" s="14">
        <v>1.0</v>
      </c>
      <c r="H765" s="18">
        <v>0.0</v>
      </c>
      <c r="I765" s="14">
        <v>2.26</v>
      </c>
      <c r="J765" s="14">
        <v>1.9399</v>
      </c>
      <c r="K765" s="20">
        <f>'Индекс с Дивидендами'!$J765/'Индекс с Дивидендами'!$C765</f>
        <v>0.007214206025</v>
      </c>
    </row>
    <row r="766" hidden="1">
      <c r="A766" s="14">
        <v>2008.0</v>
      </c>
      <c r="B766" s="15" t="s">
        <v>160</v>
      </c>
      <c r="C766" s="14">
        <v>52.97</v>
      </c>
      <c r="D766" s="14">
        <v>0.0</v>
      </c>
      <c r="E766" s="18">
        <v>0.0</v>
      </c>
      <c r="F766" s="14">
        <v>0.34</v>
      </c>
      <c r="G766" s="14">
        <v>1.0</v>
      </c>
      <c r="H766" s="18">
        <v>0.0</v>
      </c>
      <c r="I766" s="14">
        <v>2.59</v>
      </c>
      <c r="J766" s="14"/>
      <c r="K766" s="14">
        <f>'Индекс с Дивидендами'!$J766/'Индекс с Дивидендами'!$C766</f>
        <v>0</v>
      </c>
    </row>
    <row r="767" hidden="1">
      <c r="A767" s="14">
        <v>2008.0</v>
      </c>
      <c r="B767" s="15" t="s">
        <v>197</v>
      </c>
      <c r="C767" s="14">
        <v>0.291</v>
      </c>
      <c r="D767" s="14">
        <v>0.0</v>
      </c>
      <c r="E767" s="18">
        <v>0.0</v>
      </c>
      <c r="F767" s="14">
        <v>0.4</v>
      </c>
      <c r="G767" s="14">
        <v>1.0</v>
      </c>
      <c r="H767" s="18">
        <v>0.0</v>
      </c>
      <c r="I767" s="14">
        <v>0.25</v>
      </c>
      <c r="J767" s="14"/>
      <c r="K767" s="14">
        <f>'Индекс с Дивидендами'!$J767/'Индекс с Дивидендами'!$C767</f>
        <v>0</v>
      </c>
    </row>
    <row r="768">
      <c r="A768" s="14">
        <v>2008.0</v>
      </c>
      <c r="B768" s="15" t="s">
        <v>88</v>
      </c>
      <c r="C768" s="14">
        <f>766.98/50</f>
        <v>15.3396</v>
      </c>
      <c r="D768" s="14">
        <v>0.0</v>
      </c>
      <c r="E768" s="18">
        <v>0.0</v>
      </c>
      <c r="F768" s="14">
        <v>0.36</v>
      </c>
      <c r="G768" s="14">
        <v>1.0</v>
      </c>
      <c r="H768" s="18">
        <v>0.0</v>
      </c>
      <c r="I768" s="14">
        <v>3.56</v>
      </c>
      <c r="J768" s="14">
        <f>2.95/50</f>
        <v>0.059</v>
      </c>
      <c r="K768" s="20">
        <f>'Индекс с Дивидендами'!$J768/'Индекс с Дивидендами'!$C768</f>
        <v>0.00384625414</v>
      </c>
    </row>
    <row r="769" hidden="1">
      <c r="A769" s="14">
        <v>2008.0</v>
      </c>
      <c r="B769" s="15" t="s">
        <v>199</v>
      </c>
      <c r="C769" s="14">
        <v>15.94</v>
      </c>
      <c r="D769" s="14">
        <v>0.0</v>
      </c>
      <c r="E769" s="18">
        <v>0.0</v>
      </c>
      <c r="F769" s="14">
        <v>0.4</v>
      </c>
      <c r="G769" s="14">
        <v>1.0</v>
      </c>
      <c r="H769" s="18">
        <v>0.0</v>
      </c>
      <c r="I769" s="14">
        <v>0.11</v>
      </c>
      <c r="J769" s="14"/>
      <c r="K769" s="14">
        <f>'Индекс с Дивидендами'!$J769/'Индекс с Дивидендами'!$C769</f>
        <v>0</v>
      </c>
    </row>
    <row r="770">
      <c r="A770" s="14">
        <v>2007.0</v>
      </c>
      <c r="B770" s="15" t="s">
        <v>143</v>
      </c>
      <c r="C770" s="14">
        <v>153.08</v>
      </c>
      <c r="D770" s="14">
        <v>0.0</v>
      </c>
      <c r="E770" s="18">
        <v>0.0</v>
      </c>
      <c r="F770" s="14">
        <v>0.0</v>
      </c>
      <c r="G770" s="14">
        <v>0.0</v>
      </c>
      <c r="H770" s="18">
        <v>0.0</v>
      </c>
      <c r="I770" s="14">
        <v>0.9</v>
      </c>
      <c r="J770" s="14">
        <v>8.08</v>
      </c>
      <c r="K770" s="20">
        <f>'Индекс с Дивидендами'!$J770/'Индекс с Дивидендами'!$C770</f>
        <v>0.05278285864</v>
      </c>
    </row>
    <row r="771" hidden="1">
      <c r="A771" s="14">
        <v>2007.0</v>
      </c>
      <c r="B771" s="15" t="s">
        <v>201</v>
      </c>
      <c r="C771" s="14">
        <v>47.003</v>
      </c>
      <c r="D771" s="14">
        <v>0.0</v>
      </c>
      <c r="E771" s="18">
        <v>0.0</v>
      </c>
      <c r="F771" s="14">
        <v>0.0</v>
      </c>
      <c r="G771" s="14">
        <v>0.0</v>
      </c>
      <c r="H771" s="18">
        <v>0.0</v>
      </c>
      <c r="I771" s="14">
        <v>0.29</v>
      </c>
      <c r="J771" s="14"/>
      <c r="K771" s="14">
        <f>'Индекс с Дивидендами'!$J771/'Индекс с Дивидендами'!$C771</f>
        <v>0</v>
      </c>
    </row>
    <row r="772">
      <c r="A772" s="14">
        <v>2007.0</v>
      </c>
      <c r="B772" s="15" t="s">
        <v>142</v>
      </c>
      <c r="C772" s="14">
        <v>15.552</v>
      </c>
      <c r="D772" s="14">
        <v>0.0</v>
      </c>
      <c r="E772" s="18">
        <v>0.0</v>
      </c>
      <c r="F772" s="14">
        <v>0.0</v>
      </c>
      <c r="G772" s="14">
        <v>0.0</v>
      </c>
      <c r="H772" s="18">
        <v>0.0</v>
      </c>
      <c r="I772" s="14">
        <v>1.31</v>
      </c>
      <c r="J772" s="14">
        <v>0.71</v>
      </c>
      <c r="K772" s="20">
        <f>'Индекс с Дивидендами'!$J772/'Индекс с Дивидендами'!$C772</f>
        <v>0.04565329218</v>
      </c>
    </row>
    <row r="773" hidden="1">
      <c r="A773" s="14">
        <v>2007.0</v>
      </c>
      <c r="B773" s="15" t="s">
        <v>202</v>
      </c>
      <c r="C773" s="14">
        <v>31.45</v>
      </c>
      <c r="D773" s="14">
        <v>0.0</v>
      </c>
      <c r="E773" s="18">
        <v>0.0</v>
      </c>
      <c r="F773" s="14">
        <v>0.0</v>
      </c>
      <c r="G773" s="14">
        <v>0.0</v>
      </c>
      <c r="H773" s="18">
        <v>0.0</v>
      </c>
      <c r="I773" s="14">
        <v>5.32</v>
      </c>
      <c r="J773" s="14"/>
      <c r="K773" s="14">
        <f>'Индекс с Дивидендами'!$J773/'Индекс с Дивидендами'!$C773</f>
        <v>0</v>
      </c>
    </row>
    <row r="774" hidden="1">
      <c r="A774" s="14">
        <v>2007.0</v>
      </c>
      <c r="B774" s="15" t="s">
        <v>203</v>
      </c>
      <c r="C774" s="14">
        <v>27.774</v>
      </c>
      <c r="D774" s="14">
        <v>0.0</v>
      </c>
      <c r="E774" s="18">
        <v>0.0</v>
      </c>
      <c r="F774" s="14">
        <v>0.0</v>
      </c>
      <c r="G774" s="14">
        <v>0.0</v>
      </c>
      <c r="H774" s="18">
        <v>0.0</v>
      </c>
      <c r="I774" s="14">
        <v>0.87</v>
      </c>
      <c r="J774" s="14"/>
      <c r="K774" s="14">
        <f>'Индекс с Дивидендами'!$J774/'Индекс с Дивидендами'!$C774</f>
        <v>0</v>
      </c>
    </row>
    <row r="775">
      <c r="A775" s="14">
        <v>2007.0</v>
      </c>
      <c r="B775" s="15" t="s">
        <v>69</v>
      </c>
      <c r="C775" s="14">
        <v>31.5</v>
      </c>
      <c r="D775" s="14">
        <v>0.0</v>
      </c>
      <c r="E775" s="18">
        <v>0.0</v>
      </c>
      <c r="F775" s="14">
        <v>0.0</v>
      </c>
      <c r="G775" s="14">
        <v>0.0</v>
      </c>
      <c r="H775" s="18">
        <v>0.0</v>
      </c>
      <c r="I775" s="14">
        <v>0.73</v>
      </c>
      <c r="J775" s="14">
        <v>1.309</v>
      </c>
      <c r="K775" s="20">
        <f>'Индекс с Дивидендами'!$J775/'Индекс с Дивидендами'!$C775</f>
        <v>0.04155555556</v>
      </c>
    </row>
    <row r="776">
      <c r="A776" s="14">
        <v>2007.0</v>
      </c>
      <c r="B776" s="15" t="s">
        <v>96</v>
      </c>
      <c r="C776" s="14">
        <v>558.03</v>
      </c>
      <c r="D776" s="14">
        <v>0.0</v>
      </c>
      <c r="E776" s="18">
        <v>0.0</v>
      </c>
      <c r="F776" s="14">
        <v>0.0</v>
      </c>
      <c r="G776" s="14">
        <v>0.0</v>
      </c>
      <c r="H776" s="18">
        <v>0.0</v>
      </c>
      <c r="I776" s="14">
        <v>2.78</v>
      </c>
      <c r="J776" s="14">
        <v>20.1</v>
      </c>
      <c r="K776" s="20">
        <f>'Индекс с Дивидендами'!$J776/'Индекс с Дивидендами'!$C776</f>
        <v>0.03601956884</v>
      </c>
    </row>
    <row r="777">
      <c r="A777" s="14">
        <v>2007.0</v>
      </c>
      <c r="B777" s="15" t="s">
        <v>45</v>
      </c>
      <c r="C777" s="14">
        <f>6469.03/100</f>
        <v>64.6903</v>
      </c>
      <c r="D777" s="14">
        <v>0.0</v>
      </c>
      <c r="E777" s="18">
        <v>0.0</v>
      </c>
      <c r="F777" s="14">
        <v>0.0</v>
      </c>
      <c r="G777" s="14">
        <v>0.0</v>
      </c>
      <c r="H777" s="18">
        <v>0.0</v>
      </c>
      <c r="I777" s="14">
        <v>7.37</v>
      </c>
      <c r="J777" s="14">
        <f>228/100</f>
        <v>2.28</v>
      </c>
      <c r="K777" s="20">
        <f>'Индекс с Дивидендами'!$J777/'Индекс с Дивидендами'!$C777</f>
        <v>0.03524485124</v>
      </c>
    </row>
    <row r="778">
      <c r="A778" s="14">
        <v>2007.0</v>
      </c>
      <c r="B778" s="15" t="s">
        <v>136</v>
      </c>
      <c r="C778" s="14">
        <v>148.04</v>
      </c>
      <c r="D778" s="14">
        <v>0.0</v>
      </c>
      <c r="E778" s="18">
        <v>0.0</v>
      </c>
      <c r="F778" s="14">
        <v>0.0</v>
      </c>
      <c r="G778" s="14">
        <v>0.0</v>
      </c>
      <c r="H778" s="18">
        <v>0.0</v>
      </c>
      <c r="I778" s="14">
        <v>2.59</v>
      </c>
      <c r="J778" s="14">
        <v>4.6</v>
      </c>
      <c r="K778" s="20">
        <f>'Индекс с Дивидендами'!$J778/'Индекс с Дивидендами'!$C778</f>
        <v>0.03107268306</v>
      </c>
    </row>
    <row r="779" hidden="1">
      <c r="A779" s="14">
        <v>2007.0</v>
      </c>
      <c r="B779" s="15" t="s">
        <v>204</v>
      </c>
      <c r="C779" s="14">
        <v>1325.62</v>
      </c>
      <c r="D779" s="14">
        <v>0.0</v>
      </c>
      <c r="E779" s="18">
        <v>0.0</v>
      </c>
      <c r="F779" s="14">
        <v>0.0</v>
      </c>
      <c r="G779" s="14">
        <v>0.0</v>
      </c>
      <c r="H779" s="18">
        <v>0.0</v>
      </c>
      <c r="I779" s="14">
        <v>0.71</v>
      </c>
      <c r="J779" s="14"/>
      <c r="K779" s="14">
        <f>'Индекс с Дивидендами'!$J779/'Индекс с Дивидендами'!$C779</f>
        <v>0</v>
      </c>
    </row>
    <row r="780">
      <c r="A780" s="14">
        <v>2007.0</v>
      </c>
      <c r="B780" s="15" t="s">
        <v>82</v>
      </c>
      <c r="C780" s="14">
        <v>99.82</v>
      </c>
      <c r="D780" s="14">
        <v>0.0</v>
      </c>
      <c r="E780" s="18">
        <v>0.0</v>
      </c>
      <c r="F780" s="14">
        <v>0.0</v>
      </c>
      <c r="G780" s="14">
        <v>0.0</v>
      </c>
      <c r="H780" s="18">
        <v>0.0</v>
      </c>
      <c r="I780" s="14">
        <v>0.99</v>
      </c>
      <c r="J780" s="14">
        <v>3.0</v>
      </c>
      <c r="K780" s="20">
        <f>'Индекс с Дивидендами'!$J780/'Индекс с Дивидендами'!$C780</f>
        <v>0.03005409738</v>
      </c>
    </row>
    <row r="781">
      <c r="A781" s="14">
        <v>2007.0</v>
      </c>
      <c r="B781" s="15" t="s">
        <v>144</v>
      </c>
      <c r="C781" s="14">
        <v>377.32</v>
      </c>
      <c r="D781" s="14">
        <v>0.0</v>
      </c>
      <c r="E781" s="18">
        <v>0.0</v>
      </c>
      <c r="F781" s="14">
        <v>0.0</v>
      </c>
      <c r="G781" s="14">
        <v>0.0</v>
      </c>
      <c r="H781" s="18">
        <v>0.0</v>
      </c>
      <c r="I781" s="14">
        <v>6.67</v>
      </c>
      <c r="J781" s="14">
        <v>9.7</v>
      </c>
      <c r="K781" s="20">
        <f>'Индекс с Дивидендами'!$J781/'Индекс с Дивидендами'!$C781</f>
        <v>0.02570762218</v>
      </c>
    </row>
    <row r="782">
      <c r="A782" s="14">
        <v>2007.0</v>
      </c>
      <c r="B782" s="15" t="s">
        <v>78</v>
      </c>
      <c r="C782" s="14">
        <v>2067.29</v>
      </c>
      <c r="D782" s="14">
        <v>0.0</v>
      </c>
      <c r="E782" s="18">
        <v>0.0</v>
      </c>
      <c r="F782" s="14">
        <v>0.0</v>
      </c>
      <c r="G782" s="14">
        <v>0.7997</v>
      </c>
      <c r="H782" s="18">
        <v>0.0</v>
      </c>
      <c r="I782" s="14">
        <v>14.5</v>
      </c>
      <c r="J782" s="14">
        <v>38.0</v>
      </c>
      <c r="K782" s="20">
        <f>'Индекс с Дивидендами'!$J782/'Индекс с Дивидендами'!$C782</f>
        <v>0.01838155266</v>
      </c>
    </row>
    <row r="783">
      <c r="A783" s="14">
        <v>2007.0</v>
      </c>
      <c r="B783" s="15" t="s">
        <v>141</v>
      </c>
      <c r="C783" s="14">
        <v>29.505</v>
      </c>
      <c r="D783" s="14">
        <v>0.0</v>
      </c>
      <c r="E783" s="18">
        <v>0.0</v>
      </c>
      <c r="F783" s="14">
        <v>0.0</v>
      </c>
      <c r="G783" s="14">
        <v>0.0</v>
      </c>
      <c r="H783" s="18">
        <v>0.0</v>
      </c>
      <c r="I783" s="14">
        <v>5.65</v>
      </c>
      <c r="J783" s="14">
        <v>0.53</v>
      </c>
      <c r="K783" s="20">
        <f>'Индекс с Дивидендами'!$J783/'Индекс с Дивидендами'!$C783</f>
        <v>0.01796305711</v>
      </c>
    </row>
    <row r="784" hidden="1">
      <c r="A784" s="14">
        <v>2007.0</v>
      </c>
      <c r="B784" s="15" t="s">
        <v>195</v>
      </c>
      <c r="C784" s="14">
        <v>3.67</v>
      </c>
      <c r="D784" s="14">
        <v>0.0</v>
      </c>
      <c r="E784" s="18">
        <v>0.0</v>
      </c>
      <c r="F784" s="14">
        <v>0.0</v>
      </c>
      <c r="G784" s="14">
        <v>0.0</v>
      </c>
      <c r="H784" s="18">
        <v>0.0</v>
      </c>
      <c r="I784" s="14">
        <v>0.97</v>
      </c>
      <c r="J784" s="14"/>
      <c r="K784" s="14">
        <f>'Индекс с Дивидендами'!$J784/'Индекс с Дивидендами'!$C784</f>
        <v>0</v>
      </c>
    </row>
    <row r="785" hidden="1">
      <c r="A785" s="14">
        <v>2007.0</v>
      </c>
      <c r="B785" s="15" t="s">
        <v>198</v>
      </c>
      <c r="C785" s="14">
        <v>4.316</v>
      </c>
      <c r="D785" s="14">
        <v>0.0</v>
      </c>
      <c r="E785" s="18">
        <v>0.0</v>
      </c>
      <c r="F785" s="14">
        <v>0.0</v>
      </c>
      <c r="G785" s="14">
        <v>0.0</v>
      </c>
      <c r="H785" s="18">
        <v>0.0</v>
      </c>
      <c r="I785" s="14">
        <v>0.38</v>
      </c>
      <c r="J785" s="14"/>
      <c r="K785" s="14">
        <f>'Индекс с Дивидендами'!$J785/'Индекс с Дивидендами'!$C785</f>
        <v>0</v>
      </c>
    </row>
    <row r="786">
      <c r="A786" s="14">
        <v>2007.0</v>
      </c>
      <c r="B786" s="15" t="s">
        <v>39</v>
      </c>
      <c r="C786" s="14">
        <v>92.88</v>
      </c>
      <c r="D786" s="14">
        <v>0.0</v>
      </c>
      <c r="E786" s="18">
        <v>0.0</v>
      </c>
      <c r="F786" s="14">
        <v>0.0</v>
      </c>
      <c r="G786" s="14">
        <v>0.0</v>
      </c>
      <c r="H786" s="18">
        <v>0.0</v>
      </c>
      <c r="I786" s="14">
        <v>0.26</v>
      </c>
      <c r="J786" s="14">
        <v>1.287</v>
      </c>
      <c r="K786" s="20">
        <f>'Индекс с Дивидендами'!$J786/'Индекс с Дивидендами'!$C786</f>
        <v>0.01385658915</v>
      </c>
    </row>
    <row r="787" hidden="1">
      <c r="A787" s="14">
        <v>2007.0</v>
      </c>
      <c r="B787" s="15" t="s">
        <v>200</v>
      </c>
      <c r="C787" s="14">
        <v>257.82</v>
      </c>
      <c r="D787" s="14">
        <v>0.0</v>
      </c>
      <c r="E787" s="18">
        <v>0.0</v>
      </c>
      <c r="F787" s="14">
        <v>0.0</v>
      </c>
      <c r="G787" s="14">
        <v>0.0</v>
      </c>
      <c r="H787" s="18">
        <v>0.0</v>
      </c>
      <c r="I787" s="14">
        <v>0.24</v>
      </c>
      <c r="J787" s="14"/>
      <c r="K787" s="14">
        <f>'Индекс с Дивидендами'!$J787/'Индекс с Дивидендами'!$C787</f>
        <v>0</v>
      </c>
    </row>
    <row r="788">
      <c r="A788" s="14">
        <v>2007.0</v>
      </c>
      <c r="B788" s="15" t="s">
        <v>145</v>
      </c>
      <c r="C788" s="14">
        <v>184.28</v>
      </c>
      <c r="D788" s="14">
        <v>0.0</v>
      </c>
      <c r="E788" s="18">
        <v>0.0</v>
      </c>
      <c r="F788" s="14">
        <v>0.0</v>
      </c>
      <c r="G788" s="14">
        <v>0.0</v>
      </c>
      <c r="H788" s="18">
        <v>0.0</v>
      </c>
      <c r="I788" s="14">
        <v>2.88</v>
      </c>
      <c r="J788" s="14">
        <v>1.93</v>
      </c>
      <c r="K788" s="20">
        <f>'Индекс с Дивидендами'!$J788/'Индекс с Дивидендами'!$C788</f>
        <v>0.01047319297</v>
      </c>
    </row>
    <row r="789">
      <c r="A789" s="14">
        <v>2007.0</v>
      </c>
      <c r="B789" s="15" t="s">
        <v>43</v>
      </c>
      <c r="C789" s="14">
        <v>342.93</v>
      </c>
      <c r="D789" s="14">
        <v>0.0</v>
      </c>
      <c r="E789" s="18">
        <v>0.0</v>
      </c>
      <c r="F789" s="14">
        <v>0.0</v>
      </c>
      <c r="G789" s="14">
        <v>0.2881</v>
      </c>
      <c r="H789" s="18">
        <v>0.0</v>
      </c>
      <c r="I789" s="14">
        <v>14.95</v>
      </c>
      <c r="J789" s="14">
        <v>2.54</v>
      </c>
      <c r="K789" s="20">
        <f>'Индекс с Дивидендами'!$J789/'Индекс с Дивидендами'!$C789</f>
        <v>0.007406759397</v>
      </c>
    </row>
    <row r="790">
      <c r="A790" s="14">
        <v>2007.0</v>
      </c>
      <c r="B790" s="15" t="s">
        <v>94</v>
      </c>
      <c r="C790" s="14">
        <v>69.92</v>
      </c>
      <c r="D790" s="14">
        <v>0.0</v>
      </c>
      <c r="E790" s="18">
        <v>0.0</v>
      </c>
      <c r="F790" s="14">
        <v>0.0</v>
      </c>
      <c r="G790" s="14">
        <v>0.8781</v>
      </c>
      <c r="H790" s="18">
        <v>0.0</v>
      </c>
      <c r="I790" s="14">
        <v>1.16</v>
      </c>
      <c r="J790" s="14">
        <v>0.465</v>
      </c>
      <c r="K790" s="20">
        <f>'Индекс с Дивидендами'!$J790/'Индекс с Дивидендами'!$C790</f>
        <v>0.006650457666</v>
      </c>
    </row>
    <row r="791">
      <c r="A791" s="14">
        <v>2007.0</v>
      </c>
      <c r="B791" s="15" t="s">
        <v>132</v>
      </c>
      <c r="C791" s="14">
        <v>231.5</v>
      </c>
      <c r="D791" s="14">
        <v>0.0</v>
      </c>
      <c r="E791" s="18">
        <v>0.0</v>
      </c>
      <c r="F791" s="14">
        <v>0.0</v>
      </c>
      <c r="G791" s="14">
        <v>0.0</v>
      </c>
      <c r="H791" s="18">
        <v>0.0</v>
      </c>
      <c r="I791" s="14">
        <v>5.48</v>
      </c>
      <c r="J791" s="14">
        <v>1.33</v>
      </c>
      <c r="K791" s="20">
        <f>'Индекс с Дивидендами'!$J791/'Индекс с Дивидендами'!$C791</f>
        <v>0.005745140389</v>
      </c>
    </row>
    <row r="792">
      <c r="A792" s="14">
        <v>2007.0</v>
      </c>
      <c r="B792" s="15" t="s">
        <v>126</v>
      </c>
      <c r="C792" s="14">
        <v>5.929</v>
      </c>
      <c r="D792" s="14">
        <v>0.0</v>
      </c>
      <c r="E792" s="18">
        <v>0.0</v>
      </c>
      <c r="F792" s="14">
        <v>0.0</v>
      </c>
      <c r="G792" s="14">
        <v>0.0</v>
      </c>
      <c r="H792" s="18">
        <v>0.0</v>
      </c>
      <c r="I792" s="14">
        <v>0.63</v>
      </c>
      <c r="J792" s="14">
        <v>0.0316</v>
      </c>
      <c r="K792" s="20">
        <f>'Индекс с Дивидендами'!$J792/'Индекс с Дивидендами'!$C792</f>
        <v>0.0053297352</v>
      </c>
    </row>
    <row r="793">
      <c r="A793" s="14">
        <v>2007.0</v>
      </c>
      <c r="B793" s="15" t="s">
        <v>90</v>
      </c>
      <c r="C793" s="14">
        <v>288.57</v>
      </c>
      <c r="D793" s="14">
        <v>0.0</v>
      </c>
      <c r="E793" s="18">
        <v>0.0</v>
      </c>
      <c r="F793" s="14">
        <v>0.0</v>
      </c>
      <c r="G793" s="14">
        <v>0.0</v>
      </c>
      <c r="H793" s="18">
        <v>0.0</v>
      </c>
      <c r="I793" s="14">
        <v>1.73</v>
      </c>
      <c r="J793" s="14">
        <v>1.479</v>
      </c>
      <c r="K793" s="20">
        <f>'Индекс с Дивидендами'!$J793/'Индекс с Дивидендами'!$C793</f>
        <v>0.005125272897</v>
      </c>
    </row>
    <row r="794">
      <c r="A794" s="14">
        <v>2007.0</v>
      </c>
      <c r="B794" s="15" t="s">
        <v>104</v>
      </c>
      <c r="C794" s="14">
        <f>48844.2/100</f>
        <v>488.442</v>
      </c>
      <c r="D794" s="14">
        <v>0.0</v>
      </c>
      <c r="E794" s="18">
        <v>0.0</v>
      </c>
      <c r="F794" s="14">
        <v>0.0</v>
      </c>
      <c r="G794" s="14">
        <v>0.0</v>
      </c>
      <c r="H794" s="18">
        <v>0.0</v>
      </c>
      <c r="I794" s="14">
        <v>1.21</v>
      </c>
      <c r="J794" s="14">
        <f>225.42/100</f>
        <v>2.2542</v>
      </c>
      <c r="K794" s="20">
        <f>'Индекс с Дивидендами'!$J794/'Индекс с Дивидендами'!$C794</f>
        <v>0.004615082241</v>
      </c>
    </row>
    <row r="795">
      <c r="A795" s="14">
        <v>2007.0</v>
      </c>
      <c r="B795" s="15" t="s">
        <v>93</v>
      </c>
      <c r="C795" s="14">
        <v>101.97</v>
      </c>
      <c r="D795" s="14">
        <v>0.0</v>
      </c>
      <c r="E795" s="18">
        <v>0.0</v>
      </c>
      <c r="F795" s="14">
        <v>0.0</v>
      </c>
      <c r="G795" s="14">
        <v>0.8781</v>
      </c>
      <c r="H795" s="18">
        <v>0.0</v>
      </c>
      <c r="I795" s="14">
        <v>13.55</v>
      </c>
      <c r="J795" s="14">
        <v>0.3855</v>
      </c>
      <c r="K795" s="20">
        <f>'Индекс с Дивидендами'!$J795/'Индекс с Дивидендами'!$C795</f>
        <v>0.003780523683</v>
      </c>
    </row>
    <row r="796">
      <c r="A796" s="14">
        <v>2007.0</v>
      </c>
      <c r="B796" s="15" t="s">
        <v>88</v>
      </c>
      <c r="C796" s="14">
        <f>1127.89/50</f>
        <v>22.5578</v>
      </c>
      <c r="D796" s="14">
        <v>0.0</v>
      </c>
      <c r="E796" s="18">
        <v>0.0</v>
      </c>
      <c r="F796" s="14">
        <v>0.0</v>
      </c>
      <c r="G796" s="14">
        <v>0.0</v>
      </c>
      <c r="H796" s="18">
        <v>0.0</v>
      </c>
      <c r="I796" s="14">
        <v>1.64</v>
      </c>
      <c r="J796" s="14">
        <f>3.23/50</f>
        <v>0.0646</v>
      </c>
      <c r="K796" s="20">
        <f>'Индекс с Дивидендами'!$J796/'Индекс с Дивидендами'!$C796</f>
        <v>0.002863754444</v>
      </c>
    </row>
    <row r="797" hidden="1">
      <c r="A797" s="14">
        <v>2007.0</v>
      </c>
      <c r="B797" s="15" t="s">
        <v>197</v>
      </c>
      <c r="C797" s="14">
        <v>1.503</v>
      </c>
      <c r="D797" s="14">
        <v>0.0</v>
      </c>
      <c r="E797" s="18">
        <v>0.0</v>
      </c>
      <c r="F797" s="14">
        <v>0.0</v>
      </c>
      <c r="G797" s="14">
        <v>0.0</v>
      </c>
      <c r="H797" s="18">
        <v>0.0</v>
      </c>
      <c r="I797" s="14">
        <v>0.46</v>
      </c>
      <c r="J797" s="14"/>
      <c r="K797" s="14">
        <f>'Индекс с Дивидендами'!$J797/'Индекс с Дивидендами'!$C797</f>
        <v>0</v>
      </c>
    </row>
    <row r="798" hidden="1">
      <c r="A798" s="14">
        <v>2007.0</v>
      </c>
      <c r="B798" s="15" t="s">
        <v>9</v>
      </c>
      <c r="C798" s="14">
        <f>0.1262*5000</f>
        <v>631</v>
      </c>
      <c r="D798" s="19">
        <v>0.0</v>
      </c>
      <c r="E798" s="18">
        <v>0.0</v>
      </c>
      <c r="F798" s="14">
        <v>0.0</v>
      </c>
      <c r="G798" s="14">
        <v>0.0</v>
      </c>
      <c r="H798" s="18">
        <v>0.0</v>
      </c>
      <c r="I798" s="14">
        <v>3.5</v>
      </c>
      <c r="J798" s="14"/>
      <c r="K798" s="14">
        <f>'Индекс с Дивидендами'!$J798/'Индекс с Дивидендами'!$C798</f>
        <v>0</v>
      </c>
    </row>
    <row r="799" hidden="1">
      <c r="A799" s="14">
        <v>2007.0</v>
      </c>
      <c r="B799" s="15" t="s">
        <v>199</v>
      </c>
      <c r="C799" s="14">
        <v>143.51</v>
      </c>
      <c r="D799" s="14">
        <v>0.0</v>
      </c>
      <c r="E799" s="18">
        <v>0.0</v>
      </c>
      <c r="F799" s="14">
        <v>0.0</v>
      </c>
      <c r="G799" s="14">
        <v>0.0</v>
      </c>
      <c r="H799" s="18">
        <v>0.0</v>
      </c>
      <c r="I799" s="14">
        <v>0.28</v>
      </c>
      <c r="J799" s="14"/>
      <c r="K799" s="14">
        <f>'Индекс с Дивидендами'!$J799/'Индекс с Дивидендами'!$C799</f>
        <v>0</v>
      </c>
    </row>
    <row r="800">
      <c r="A800" s="14">
        <v>2006.0</v>
      </c>
      <c r="B800" s="15" t="s">
        <v>143</v>
      </c>
      <c r="C800" s="14">
        <v>119.77</v>
      </c>
      <c r="D800" s="14">
        <v>0.0</v>
      </c>
      <c r="E800" s="18">
        <v>0.0</v>
      </c>
      <c r="F800" s="14">
        <v>0.0</v>
      </c>
      <c r="G800" s="14">
        <v>0.0</v>
      </c>
      <c r="H800" s="18">
        <v>0.0</v>
      </c>
      <c r="I800" s="14">
        <v>1.22</v>
      </c>
      <c r="J800" s="14">
        <v>7.9</v>
      </c>
      <c r="K800" s="20">
        <f>'Индекс с Дивидендами'!$J800/'Индекс с Дивидендами'!$C800</f>
        <v>0.0659597562</v>
      </c>
    </row>
    <row r="801" hidden="1">
      <c r="A801" s="14">
        <v>2006.0</v>
      </c>
      <c r="B801" s="15" t="s">
        <v>201</v>
      </c>
      <c r="C801" s="14">
        <f>1786.17/40</f>
        <v>44.65425</v>
      </c>
      <c r="D801" s="14">
        <v>0.0</v>
      </c>
      <c r="E801" s="18">
        <v>0.0</v>
      </c>
      <c r="F801" s="14">
        <v>0.0</v>
      </c>
      <c r="G801" s="14">
        <v>0.0</v>
      </c>
      <c r="H801" s="18">
        <v>0.0</v>
      </c>
      <c r="I801" s="14">
        <v>0.31</v>
      </c>
      <c r="J801" s="14"/>
      <c r="K801" s="14">
        <f>'Индекс с Дивидендами'!$J801/'Индекс с Дивидендами'!$C801</f>
        <v>0</v>
      </c>
    </row>
    <row r="802" hidden="1">
      <c r="A802" s="14">
        <v>2006.0</v>
      </c>
      <c r="B802" s="15" t="s">
        <v>202</v>
      </c>
      <c r="C802" s="14">
        <v>28.453</v>
      </c>
      <c r="D802" s="14">
        <v>0.0</v>
      </c>
      <c r="E802" s="18">
        <v>0.0</v>
      </c>
      <c r="F802" s="14">
        <v>0.0</v>
      </c>
      <c r="G802" s="14">
        <v>0.0</v>
      </c>
      <c r="H802" s="18">
        <v>0.0</v>
      </c>
      <c r="I802" s="14">
        <v>10.42</v>
      </c>
      <c r="J802" s="14"/>
      <c r="K802" s="14">
        <f>'Индекс с Дивидендами'!$J802/'Индекс с Дивидендами'!$C802</f>
        <v>0</v>
      </c>
    </row>
    <row r="803" hidden="1">
      <c r="A803" s="14">
        <v>2006.0</v>
      </c>
      <c r="B803" s="15" t="s">
        <v>203</v>
      </c>
      <c r="C803" s="14">
        <v>25.074</v>
      </c>
      <c r="D803" s="14">
        <v>0.0</v>
      </c>
      <c r="E803" s="18">
        <v>0.0</v>
      </c>
      <c r="F803" s="14">
        <v>0.0</v>
      </c>
      <c r="G803" s="14">
        <v>0.0</v>
      </c>
      <c r="H803" s="18">
        <v>0.0</v>
      </c>
      <c r="I803" s="14">
        <v>1.36</v>
      </c>
      <c r="J803" s="14"/>
      <c r="K803" s="14">
        <f>'Индекс с Дивидендами'!$J803/'Индекс с Дивидендами'!$C803</f>
        <v>0</v>
      </c>
    </row>
    <row r="804">
      <c r="A804" s="14">
        <v>2006.0</v>
      </c>
      <c r="B804" s="15" t="s">
        <v>142</v>
      </c>
      <c r="C804" s="14">
        <v>29.705</v>
      </c>
      <c r="D804" s="14">
        <v>0.0</v>
      </c>
      <c r="E804" s="18">
        <v>0.0</v>
      </c>
      <c r="F804" s="14">
        <v>0.0</v>
      </c>
      <c r="G804" s="14">
        <v>0.5</v>
      </c>
      <c r="H804" s="18">
        <v>0.0</v>
      </c>
      <c r="I804" s="14">
        <v>3.47</v>
      </c>
      <c r="J804" s="14">
        <v>1.05</v>
      </c>
      <c r="K804" s="20">
        <f>'Индекс с Дивидендами'!$J804/'Индекс с Дивидендами'!$C804</f>
        <v>0.03534758458</v>
      </c>
    </row>
    <row r="805">
      <c r="A805" s="14">
        <v>2006.0</v>
      </c>
      <c r="B805" s="15" t="s">
        <v>144</v>
      </c>
      <c r="C805" s="14">
        <v>227.88</v>
      </c>
      <c r="D805" s="14">
        <v>0.0</v>
      </c>
      <c r="E805" s="18">
        <v>0.0</v>
      </c>
      <c r="F805" s="14">
        <v>0.0</v>
      </c>
      <c r="G805" s="14">
        <v>0.0</v>
      </c>
      <c r="H805" s="18">
        <v>0.0</v>
      </c>
      <c r="I805" s="14">
        <v>6.65</v>
      </c>
      <c r="J805" s="14">
        <v>7.6</v>
      </c>
      <c r="K805" s="20">
        <f>'Индекс с Дивидендами'!$J805/'Индекс с Дивидендами'!$C805</f>
        <v>0.03335088643</v>
      </c>
    </row>
    <row r="806">
      <c r="A806" s="14">
        <v>2006.0</v>
      </c>
      <c r="B806" s="15" t="s">
        <v>45</v>
      </c>
      <c r="C806" s="14">
        <f>4080.06/100</f>
        <v>40.8006</v>
      </c>
      <c r="D806" s="14">
        <v>0.0</v>
      </c>
      <c r="E806" s="18">
        <v>0.0</v>
      </c>
      <c r="F806" s="14">
        <v>0.0</v>
      </c>
      <c r="G806" s="14">
        <v>0.0</v>
      </c>
      <c r="H806" s="18">
        <v>0.0</v>
      </c>
      <c r="I806" s="14">
        <v>7.49</v>
      </c>
      <c r="J806" s="14">
        <f>109.5/100</f>
        <v>1.095</v>
      </c>
      <c r="K806" s="20">
        <f>'Индекс с Дивидендами'!$J806/'Индекс с Дивидендами'!$C806</f>
        <v>0.02683784062</v>
      </c>
    </row>
    <row r="807">
      <c r="A807" s="14">
        <v>2006.0</v>
      </c>
      <c r="B807" s="15" t="s">
        <v>141</v>
      </c>
      <c r="C807" s="14">
        <v>40.158</v>
      </c>
      <c r="D807" s="14">
        <v>0.0</v>
      </c>
      <c r="E807" s="18">
        <v>0.0</v>
      </c>
      <c r="F807" s="14">
        <v>0.0</v>
      </c>
      <c r="G807" s="14">
        <v>0.5</v>
      </c>
      <c r="H807" s="18">
        <v>0.0</v>
      </c>
      <c r="I807" s="14">
        <v>6.91</v>
      </c>
      <c r="J807" s="14">
        <v>0.8</v>
      </c>
      <c r="K807" s="20">
        <f>'Индекс с Дивидендами'!$J807/'Индекс с Дивидендами'!$C807</f>
        <v>0.01992131082</v>
      </c>
    </row>
    <row r="808">
      <c r="A808" s="14">
        <v>2006.0</v>
      </c>
      <c r="B808" s="15" t="s">
        <v>78</v>
      </c>
      <c r="C808" s="14">
        <v>2288.13</v>
      </c>
      <c r="D808" s="14">
        <v>0.0</v>
      </c>
      <c r="E808" s="18">
        <v>0.0</v>
      </c>
      <c r="F808" s="14">
        <v>0.0</v>
      </c>
      <c r="G808" s="14">
        <v>0.25</v>
      </c>
      <c r="H808" s="18">
        <v>0.0</v>
      </c>
      <c r="I808" s="14">
        <v>8.68</v>
      </c>
      <c r="J808" s="14">
        <v>33.0</v>
      </c>
      <c r="K808" s="20">
        <f>'Индекс с Дивидендами'!$J808/'Индекс с Дивидендами'!$C808</f>
        <v>0.01442225748</v>
      </c>
    </row>
    <row r="809" hidden="1">
      <c r="A809" s="14">
        <v>2006.0</v>
      </c>
      <c r="B809" s="15" t="s">
        <v>88</v>
      </c>
      <c r="C809" s="14">
        <f>1290.13/50</f>
        <v>25.8026</v>
      </c>
      <c r="D809" s="14">
        <v>0.0</v>
      </c>
      <c r="E809" s="18">
        <v>0.0</v>
      </c>
      <c r="F809" s="14">
        <v>0.0</v>
      </c>
      <c r="G809" s="14">
        <v>0.0</v>
      </c>
      <c r="H809" s="18">
        <v>0.0</v>
      </c>
      <c r="I809" s="14">
        <v>3.25</v>
      </c>
      <c r="J809" s="14"/>
      <c r="K809" s="14">
        <f>'Индекс с Дивидендами'!$J809/'Индекс с Дивидендами'!$C809</f>
        <v>0</v>
      </c>
    </row>
    <row r="810" hidden="1">
      <c r="A810" s="14">
        <v>2006.0</v>
      </c>
      <c r="B810" s="15" t="s">
        <v>200</v>
      </c>
      <c r="C810" s="14">
        <v>299.76</v>
      </c>
      <c r="D810" s="14">
        <v>0.0</v>
      </c>
      <c r="E810" s="18">
        <v>0.0</v>
      </c>
      <c r="F810" s="14">
        <v>0.0</v>
      </c>
      <c r="G810" s="14">
        <v>0.0</v>
      </c>
      <c r="H810" s="18">
        <v>0.0</v>
      </c>
      <c r="I810" s="14">
        <v>0.4</v>
      </c>
      <c r="J810" s="14"/>
      <c r="K810" s="14">
        <f>'Индекс с Дивидендами'!$J810/'Индекс с Дивидендами'!$C810</f>
        <v>0</v>
      </c>
    </row>
    <row r="811" hidden="1">
      <c r="A811" s="14">
        <v>2006.0</v>
      </c>
      <c r="B811" s="15" t="s">
        <v>132</v>
      </c>
      <c r="C811" s="14">
        <v>243.31</v>
      </c>
      <c r="D811" s="14">
        <v>0.0</v>
      </c>
      <c r="E811" s="18">
        <v>0.0</v>
      </c>
      <c r="F811" s="14">
        <v>0.0</v>
      </c>
      <c r="G811" s="14">
        <v>0.0</v>
      </c>
      <c r="H811" s="18">
        <v>0.0</v>
      </c>
      <c r="I811" s="14">
        <v>9.47</v>
      </c>
      <c r="J811" s="14"/>
      <c r="K811" s="14">
        <f>'Индекс с Дивидендами'!$J811/'Индекс с Дивидендами'!$C811</f>
        <v>0</v>
      </c>
    </row>
    <row r="812">
      <c r="A812" s="14">
        <v>2006.0</v>
      </c>
      <c r="B812" s="15" t="s">
        <v>39</v>
      </c>
      <c r="C812" s="14">
        <v>57.22</v>
      </c>
      <c r="D812" s="14">
        <v>0.0</v>
      </c>
      <c r="E812" s="18">
        <v>0.0</v>
      </c>
      <c r="F812" s="14">
        <v>0.0</v>
      </c>
      <c r="G812" s="14">
        <v>0.0</v>
      </c>
      <c r="H812" s="18">
        <v>0.0</v>
      </c>
      <c r="I812" s="14">
        <v>0.25</v>
      </c>
      <c r="J812" s="14">
        <v>0.8202</v>
      </c>
      <c r="K812" s="20">
        <f>'Индекс с Дивидендами'!$J812/'Индекс с Дивидендами'!$C812</f>
        <v>0.0143341489</v>
      </c>
    </row>
    <row r="813">
      <c r="A813" s="14">
        <v>2006.0</v>
      </c>
      <c r="B813" s="15" t="s">
        <v>136</v>
      </c>
      <c r="C813" s="14">
        <v>122.04</v>
      </c>
      <c r="D813" s="14">
        <v>0.0</v>
      </c>
      <c r="E813" s="18">
        <v>0.0</v>
      </c>
      <c r="F813" s="14">
        <v>0.0</v>
      </c>
      <c r="G813" s="14">
        <v>0.0</v>
      </c>
      <c r="H813" s="18">
        <v>0.0</v>
      </c>
      <c r="I813" s="14">
        <v>3.7</v>
      </c>
      <c r="J813" s="14">
        <v>1.0</v>
      </c>
      <c r="K813" s="20">
        <f>'Индекс с Дивидендами'!$J813/'Индекс с Дивидендами'!$C813</f>
        <v>0.008194034743</v>
      </c>
    </row>
    <row r="814">
      <c r="A814" s="14">
        <v>2006.0</v>
      </c>
      <c r="B814" s="15" t="s">
        <v>90</v>
      </c>
      <c r="C814" s="14">
        <v>194.54</v>
      </c>
      <c r="D814" s="14">
        <v>0.0</v>
      </c>
      <c r="E814" s="18">
        <v>0.0</v>
      </c>
      <c r="F814" s="14">
        <v>0.0</v>
      </c>
      <c r="G814" s="14">
        <v>0.0</v>
      </c>
      <c r="H814" s="18">
        <v>0.0</v>
      </c>
      <c r="I814" s="14">
        <v>2.43</v>
      </c>
      <c r="J814" s="14">
        <v>1.5617</v>
      </c>
      <c r="K814" s="20">
        <f>'Индекс с Дивидендами'!$J814/'Индекс с Дивидендами'!$C814</f>
        <v>0.008027654981</v>
      </c>
    </row>
    <row r="815">
      <c r="A815" s="14">
        <v>2006.0</v>
      </c>
      <c r="B815" s="15" t="s">
        <v>43</v>
      </c>
      <c r="C815" s="14">
        <v>302.83</v>
      </c>
      <c r="D815" s="14">
        <v>0.0</v>
      </c>
      <c r="E815" s="18">
        <v>0.0</v>
      </c>
      <c r="F815" s="14">
        <v>0.0</v>
      </c>
      <c r="G815" s="14">
        <v>0.15</v>
      </c>
      <c r="H815" s="18">
        <v>0.0</v>
      </c>
      <c r="I815" s="14">
        <v>11.89</v>
      </c>
      <c r="J815" s="14">
        <v>1.5</v>
      </c>
      <c r="K815" s="20">
        <f>'Индекс с Дивидендами'!$J815/'Индекс с Дивидендами'!$C815</f>
        <v>0.004953274114</v>
      </c>
    </row>
    <row r="816">
      <c r="A816" s="14">
        <v>2006.0</v>
      </c>
      <c r="B816" s="15" t="s">
        <v>104</v>
      </c>
      <c r="C816" s="14">
        <f>59924.33/100</f>
        <v>599.2433</v>
      </c>
      <c r="D816" s="14">
        <v>0.0</v>
      </c>
      <c r="E816" s="18">
        <v>0.0</v>
      </c>
      <c r="F816" s="14">
        <v>0.0</v>
      </c>
      <c r="G816" s="14">
        <v>0.0</v>
      </c>
      <c r="H816" s="18">
        <v>0.0</v>
      </c>
      <c r="I816" s="14">
        <v>2.26</v>
      </c>
      <c r="J816" s="14">
        <f>296.36/100</f>
        <v>2.9636</v>
      </c>
      <c r="K816" s="20">
        <f>'Индекс с Дивидендами'!$J816/'Индекс с Дивидендами'!$C816</f>
        <v>0.004945570522</v>
      </c>
    </row>
    <row r="817">
      <c r="A817" s="14">
        <v>2006.0</v>
      </c>
      <c r="B817" s="15" t="s">
        <v>94</v>
      </c>
      <c r="C817" s="14">
        <f>1523.49/20</f>
        <v>76.1745</v>
      </c>
      <c r="D817" s="14">
        <v>0.0</v>
      </c>
      <c r="E817" s="18">
        <v>0.0</v>
      </c>
      <c r="F817" s="14">
        <v>0.0</v>
      </c>
      <c r="G817" s="14">
        <v>0.0</v>
      </c>
      <c r="H817" s="18">
        <v>0.0</v>
      </c>
      <c r="I817" s="14">
        <v>2.5</v>
      </c>
      <c r="J817" s="14">
        <v>0.295</v>
      </c>
      <c r="K817" s="20">
        <f>'Индекс с Дивидендами'!$J817/'Индекс с Дивидендами'!$C817</f>
        <v>0.003872687054</v>
      </c>
    </row>
    <row r="818">
      <c r="A818" s="14">
        <v>2006.0</v>
      </c>
      <c r="B818" s="15" t="s">
        <v>126</v>
      </c>
      <c r="C818" s="14">
        <v>5.243</v>
      </c>
      <c r="D818" s="14">
        <v>0.0</v>
      </c>
      <c r="E818" s="18">
        <v>0.0</v>
      </c>
      <c r="F818" s="14">
        <v>0.0</v>
      </c>
      <c r="G818" s="14">
        <v>0.0</v>
      </c>
      <c r="H818" s="18">
        <v>0.0</v>
      </c>
      <c r="I818" s="14">
        <v>0.79</v>
      </c>
      <c r="J818" s="14">
        <v>0.0161</v>
      </c>
      <c r="K818" s="20">
        <f>'Индекс с Дивидендами'!$J818/'Индекс с Дивидендами'!$C818</f>
        <v>0.003070761015</v>
      </c>
    </row>
    <row r="819">
      <c r="A819" s="14">
        <v>2006.0</v>
      </c>
      <c r="B819" s="15" t="s">
        <v>93</v>
      </c>
      <c r="C819" s="14">
        <f>92105.72/1000</f>
        <v>92.10572</v>
      </c>
      <c r="D819" s="14">
        <v>0.0</v>
      </c>
      <c r="E819" s="18">
        <v>0.0</v>
      </c>
      <c r="F819" s="14">
        <v>0.0</v>
      </c>
      <c r="G819" s="14">
        <v>0.75</v>
      </c>
      <c r="H819" s="18">
        <v>0.0</v>
      </c>
      <c r="I819" s="14">
        <v>15.65</v>
      </c>
      <c r="J819" s="14">
        <v>0.2644</v>
      </c>
      <c r="K819" s="20">
        <f>'Индекс с Дивидендами'!$J819/'Индекс с Дивидендами'!$C819</f>
        <v>0.002870614333</v>
      </c>
    </row>
    <row r="820" hidden="1">
      <c r="A820" s="14">
        <v>2006.0</v>
      </c>
      <c r="B820" s="15" t="s">
        <v>197</v>
      </c>
      <c r="C820" s="14">
        <v>1.73</v>
      </c>
      <c r="D820" s="14">
        <v>0.0</v>
      </c>
      <c r="E820" s="18">
        <v>0.0</v>
      </c>
      <c r="F820" s="14">
        <v>0.0</v>
      </c>
      <c r="G820" s="14">
        <v>0.0</v>
      </c>
      <c r="H820" s="18">
        <v>0.0</v>
      </c>
      <c r="I820" s="14">
        <v>0.92</v>
      </c>
      <c r="J820" s="14"/>
      <c r="K820" s="14">
        <f>'Индекс с Дивидендами'!$J820/'Индекс с Дивидендами'!$C820</f>
        <v>0</v>
      </c>
    </row>
    <row r="821">
      <c r="A821" s="14">
        <v>2005.0</v>
      </c>
      <c r="B821" s="15" t="s">
        <v>143</v>
      </c>
      <c r="C821" s="14">
        <v>108.23</v>
      </c>
      <c r="D821" s="14">
        <v>0.0</v>
      </c>
      <c r="E821" s="18">
        <v>0.0</v>
      </c>
      <c r="F821" s="14">
        <v>0.0</v>
      </c>
      <c r="G821" s="14">
        <v>0.0</v>
      </c>
      <c r="H821" s="18">
        <v>0.0</v>
      </c>
      <c r="I821" s="14">
        <v>5.45</v>
      </c>
      <c r="J821" s="14">
        <v>13.91</v>
      </c>
      <c r="K821" s="20">
        <f>'Индекс с Дивидендами'!$J821/'Индекс с Дивидендами'!$C821</f>
        <v>0.1285225908</v>
      </c>
    </row>
    <row r="822" hidden="1">
      <c r="A822" s="14">
        <v>2005.0</v>
      </c>
      <c r="B822" s="15" t="s">
        <v>201</v>
      </c>
      <c r="C822" s="14">
        <f>1050/40</f>
        <v>26.25</v>
      </c>
      <c r="D822" s="14">
        <v>0.0</v>
      </c>
      <c r="E822" s="18">
        <v>0.0</v>
      </c>
      <c r="F822" s="14">
        <v>0.0</v>
      </c>
      <c r="G822" s="14">
        <v>0.7</v>
      </c>
      <c r="H822" s="18">
        <v>0.0</v>
      </c>
      <c r="I822" s="14">
        <v>0.5</v>
      </c>
      <c r="J822" s="14"/>
      <c r="K822" s="14">
        <f>'Индекс с Дивидендами'!$J822/'Индекс с Дивидендами'!$C822</f>
        <v>0</v>
      </c>
    </row>
    <row r="823">
      <c r="A823" s="14">
        <v>2005.0</v>
      </c>
      <c r="B823" s="15" t="s">
        <v>91</v>
      </c>
      <c r="C823" s="14">
        <v>50.41</v>
      </c>
      <c r="D823" s="14">
        <v>0.0</v>
      </c>
      <c r="E823" s="18">
        <v>0.0</v>
      </c>
      <c r="F823" s="14">
        <v>0.0</v>
      </c>
      <c r="G823" s="14">
        <v>0.0</v>
      </c>
      <c r="H823" s="18">
        <v>0.0</v>
      </c>
      <c r="I823" s="14">
        <v>0.54</v>
      </c>
      <c r="J823" s="14">
        <v>2.9738</v>
      </c>
      <c r="K823" s="20">
        <f>'Индекс с Дивидендами'!$J823/'Индекс с Дивидендами'!$C823</f>
        <v>0.05899226344</v>
      </c>
    </row>
    <row r="824" hidden="1">
      <c r="A824" s="14">
        <v>2005.0</v>
      </c>
      <c r="B824" s="15" t="s">
        <v>202</v>
      </c>
      <c r="C824" s="14">
        <v>12.113</v>
      </c>
      <c r="D824" s="14">
        <v>0.0</v>
      </c>
      <c r="E824" s="18">
        <v>0.0</v>
      </c>
      <c r="F824" s="14">
        <v>0.0</v>
      </c>
      <c r="G824" s="14">
        <v>0.0</v>
      </c>
      <c r="H824" s="18">
        <v>0.0</v>
      </c>
      <c r="I824" s="14">
        <v>10.52</v>
      </c>
      <c r="J824" s="14"/>
      <c r="K824" s="14">
        <f>'Индекс с Дивидендами'!$J824/'Индекс с Дивидендами'!$C824</f>
        <v>0</v>
      </c>
    </row>
    <row r="825" hidden="1">
      <c r="A825" s="14">
        <v>2005.0</v>
      </c>
      <c r="B825" s="15" t="s">
        <v>203</v>
      </c>
      <c r="C825" s="14">
        <v>10.414</v>
      </c>
      <c r="D825" s="14">
        <v>0.0</v>
      </c>
      <c r="E825" s="18">
        <v>0.0</v>
      </c>
      <c r="F825" s="14">
        <v>0.0</v>
      </c>
      <c r="G825" s="14">
        <v>0.0</v>
      </c>
      <c r="H825" s="18">
        <v>0.0</v>
      </c>
      <c r="I825" s="14">
        <v>1.52</v>
      </c>
      <c r="J825" s="14"/>
      <c r="K825" s="14">
        <f>'Индекс с Дивидендами'!$J825/'Индекс с Дивидендами'!$C825</f>
        <v>0</v>
      </c>
    </row>
    <row r="826">
      <c r="A826" s="14">
        <v>2005.0</v>
      </c>
      <c r="B826" s="15" t="s">
        <v>45</v>
      </c>
      <c r="C826" s="14">
        <f>2550.21/100</f>
        <v>25.5021</v>
      </c>
      <c r="D826" s="14">
        <v>0.0</v>
      </c>
      <c r="E826" s="18">
        <v>0.0</v>
      </c>
      <c r="F826" s="14">
        <v>0.0</v>
      </c>
      <c r="G826" s="14">
        <v>0.0</v>
      </c>
      <c r="H826" s="18">
        <v>0.0</v>
      </c>
      <c r="I826" s="14">
        <v>13.94</v>
      </c>
      <c r="J826" s="14">
        <f>71/100</f>
        <v>0.71</v>
      </c>
      <c r="K826" s="20">
        <f>'Индекс с Дивидендами'!$J826/'Индекс с Дивидендами'!$C826</f>
        <v>0.02784084448</v>
      </c>
    </row>
    <row r="827">
      <c r="A827" s="14">
        <v>2005.0</v>
      </c>
      <c r="B827" s="15" t="s">
        <v>142</v>
      </c>
      <c r="C827" s="14">
        <v>25.758</v>
      </c>
      <c r="D827" s="14">
        <v>0.0</v>
      </c>
      <c r="E827" s="18">
        <v>0.0</v>
      </c>
      <c r="F827" s="14">
        <v>0.0</v>
      </c>
      <c r="G827" s="14">
        <v>0.7</v>
      </c>
      <c r="H827" s="18">
        <v>0.0</v>
      </c>
      <c r="I827" s="14">
        <v>1.4</v>
      </c>
      <c r="J827" s="14">
        <v>0.607</v>
      </c>
      <c r="K827" s="20">
        <f>'Индекс с Дивидендами'!$J827/'Индекс с Дивидендами'!$C827</f>
        <v>0.02356549422</v>
      </c>
    </row>
    <row r="828">
      <c r="A828" s="14">
        <v>2005.0</v>
      </c>
      <c r="B828" s="15" t="s">
        <v>90</v>
      </c>
      <c r="C828" s="14">
        <v>64.49</v>
      </c>
      <c r="D828" s="14">
        <v>0.0</v>
      </c>
      <c r="E828" s="18">
        <v>0.0</v>
      </c>
      <c r="F828" s="14">
        <v>0.0</v>
      </c>
      <c r="G828" s="14">
        <v>0.0</v>
      </c>
      <c r="H828" s="18">
        <v>0.0</v>
      </c>
      <c r="I828" s="14">
        <v>2.06</v>
      </c>
      <c r="J828" s="14">
        <v>1.4593</v>
      </c>
      <c r="K828" s="20">
        <f>'Индекс с Дивидендами'!$J828/'Индекс с Дивидендами'!$C828</f>
        <v>0.02262831447</v>
      </c>
    </row>
    <row r="829">
      <c r="A829" s="14">
        <v>2005.0</v>
      </c>
      <c r="B829" s="15" t="s">
        <v>39</v>
      </c>
      <c r="C829" s="14">
        <v>40.14</v>
      </c>
      <c r="D829" s="14">
        <v>0.0</v>
      </c>
      <c r="E829" s="18">
        <v>0.0</v>
      </c>
      <c r="F829" s="14">
        <v>0.0</v>
      </c>
      <c r="G829" s="14">
        <v>0.0</v>
      </c>
      <c r="H829" s="18">
        <v>0.0</v>
      </c>
      <c r="I829" s="14">
        <v>1.52</v>
      </c>
      <c r="J829" s="14">
        <v>0.7</v>
      </c>
      <c r="K829" s="20">
        <f>'Индекс с Дивидендами'!$J829/'Индекс с Дивидендами'!$C829</f>
        <v>0.01743896363</v>
      </c>
    </row>
    <row r="830">
      <c r="A830" s="14">
        <v>2005.0</v>
      </c>
      <c r="B830" s="15" t="s">
        <v>205</v>
      </c>
      <c r="C830" s="14">
        <f>736.27/40</f>
        <v>18.40675</v>
      </c>
      <c r="D830" s="14">
        <v>0.0</v>
      </c>
      <c r="E830" s="18">
        <v>0.0</v>
      </c>
      <c r="F830" s="14">
        <v>0.0</v>
      </c>
      <c r="G830" s="14">
        <v>0.7</v>
      </c>
      <c r="H830" s="18">
        <v>0.0</v>
      </c>
      <c r="I830" s="14">
        <v>0.06</v>
      </c>
      <c r="J830" s="14">
        <v>0.3103</v>
      </c>
      <c r="K830" s="20">
        <f>'Индекс с Дивидендами'!$J830/'Индекс с Дивидендами'!$C830</f>
        <v>0.01685794613</v>
      </c>
    </row>
    <row r="831">
      <c r="A831" s="14">
        <v>2005.0</v>
      </c>
      <c r="B831" s="15" t="s">
        <v>78</v>
      </c>
      <c r="C831" s="14">
        <v>1706.83</v>
      </c>
      <c r="D831" s="14">
        <v>0.0</v>
      </c>
      <c r="E831" s="18">
        <v>0.0</v>
      </c>
      <c r="F831" s="14">
        <v>0.0</v>
      </c>
      <c r="G831" s="14">
        <v>0.0</v>
      </c>
      <c r="H831" s="18">
        <v>0.0</v>
      </c>
      <c r="I831" s="14">
        <v>22.3</v>
      </c>
      <c r="J831" s="14">
        <v>28.0</v>
      </c>
      <c r="K831" s="20">
        <f>'Индекс с Дивидендами'!$J831/'Индекс с Дивидендами'!$C831</f>
        <v>0.01640468002</v>
      </c>
    </row>
    <row r="832">
      <c r="A832" s="14">
        <v>2005.0</v>
      </c>
      <c r="B832" s="15" t="s">
        <v>137</v>
      </c>
      <c r="C832" s="14">
        <v>61.093</v>
      </c>
      <c r="D832" s="14">
        <v>0.0</v>
      </c>
      <c r="E832" s="18">
        <v>0.0</v>
      </c>
      <c r="F832" s="14">
        <v>0.0</v>
      </c>
      <c r="G832" s="14">
        <v>0.0</v>
      </c>
      <c r="H832" s="18">
        <v>0.0</v>
      </c>
      <c r="I832" s="14">
        <v>0.32</v>
      </c>
      <c r="J832" s="14">
        <v>1.0</v>
      </c>
      <c r="K832" s="20">
        <f>'Индекс с Дивидендами'!$J832/'Индекс с Дивидендами'!$C832</f>
        <v>0.01636848739</v>
      </c>
    </row>
    <row r="833">
      <c r="A833" s="14">
        <v>2005.0</v>
      </c>
      <c r="B833" s="15" t="s">
        <v>141</v>
      </c>
      <c r="C833" s="14">
        <v>31.063</v>
      </c>
      <c r="D833" s="14">
        <v>0.0</v>
      </c>
      <c r="E833" s="18">
        <v>0.0</v>
      </c>
      <c r="F833" s="14">
        <v>0.0</v>
      </c>
      <c r="G833" s="14">
        <v>0.7</v>
      </c>
      <c r="H833" s="18">
        <v>0.0</v>
      </c>
      <c r="I833" s="14">
        <v>5.69</v>
      </c>
      <c r="J833" s="14">
        <v>0.4</v>
      </c>
      <c r="K833" s="20">
        <f>'Индекс с Дивидендами'!$J833/'Индекс с Дивидендами'!$C833</f>
        <v>0.0128770563</v>
      </c>
    </row>
    <row r="834">
      <c r="A834" s="14">
        <v>2005.0</v>
      </c>
      <c r="B834" s="15" t="s">
        <v>94</v>
      </c>
      <c r="C834" s="14">
        <f>637.2/20</f>
        <v>31.86</v>
      </c>
      <c r="D834" s="14">
        <v>0.0</v>
      </c>
      <c r="E834" s="18">
        <v>0.0</v>
      </c>
      <c r="F834" s="14">
        <v>0.0</v>
      </c>
      <c r="G834" s="14">
        <v>0.0</v>
      </c>
      <c r="H834" s="18">
        <v>0.0</v>
      </c>
      <c r="I834" s="14">
        <v>2.25</v>
      </c>
      <c r="J834" s="14">
        <v>0.1895</v>
      </c>
      <c r="K834" s="20">
        <f>'Индекс с Дивидендами'!$J834/'Индекс с Дивидендами'!$C834</f>
        <v>0.00594789705</v>
      </c>
    </row>
    <row r="835">
      <c r="A835" s="14">
        <v>2005.0</v>
      </c>
      <c r="B835" s="15" t="s">
        <v>126</v>
      </c>
      <c r="C835" s="14">
        <v>4.1</v>
      </c>
      <c r="D835" s="14">
        <v>0.0</v>
      </c>
      <c r="E835" s="18">
        <v>0.0</v>
      </c>
      <c r="F835" s="14">
        <v>0.0</v>
      </c>
      <c r="G835" s="14">
        <v>0.0</v>
      </c>
      <c r="H835" s="18">
        <v>0.0</v>
      </c>
      <c r="I835" s="14">
        <v>3.71</v>
      </c>
      <c r="J835" s="14">
        <v>0.0221</v>
      </c>
      <c r="K835" s="20">
        <f>'Индекс с Дивидендами'!$J835/'Индекс с Дивидендами'!$C835</f>
        <v>0.005390243902</v>
      </c>
    </row>
    <row r="836">
      <c r="A836" s="14">
        <v>2005.0</v>
      </c>
      <c r="B836" s="15" t="s">
        <v>93</v>
      </c>
      <c r="C836" s="14">
        <f>37651.68/1000</f>
        <v>37.65168</v>
      </c>
      <c r="D836" s="14">
        <v>0.0</v>
      </c>
      <c r="E836" s="18">
        <v>0.0</v>
      </c>
      <c r="F836" s="14">
        <v>0.0</v>
      </c>
      <c r="G836" s="14">
        <v>0.0</v>
      </c>
      <c r="H836" s="18">
        <v>0.0</v>
      </c>
      <c r="I836" s="14">
        <v>20.25</v>
      </c>
      <c r="J836" s="14">
        <v>0.1728</v>
      </c>
      <c r="K836" s="20">
        <f>'Индекс с Дивидендами'!$J836/'Индекс с Дивидендами'!$C836</f>
        <v>0.004589436647</v>
      </c>
    </row>
    <row r="837">
      <c r="A837" s="14">
        <v>2005.0</v>
      </c>
      <c r="B837" s="15" t="s">
        <v>136</v>
      </c>
      <c r="C837" s="14">
        <v>95.259</v>
      </c>
      <c r="D837" s="14">
        <v>0.0</v>
      </c>
      <c r="E837" s="18">
        <v>0.0</v>
      </c>
      <c r="F837" s="14">
        <v>0.0</v>
      </c>
      <c r="G837" s="14">
        <v>0.0</v>
      </c>
      <c r="H837" s="18">
        <v>0.0</v>
      </c>
      <c r="I837" s="14">
        <v>7.34</v>
      </c>
      <c r="J837" s="14">
        <v>0.23</v>
      </c>
      <c r="K837" s="20">
        <f>'Индекс с Дивидендами'!$J837/'Индекс с Дивидендами'!$C837</f>
        <v>0.002414470024</v>
      </c>
    </row>
    <row r="838" hidden="1">
      <c r="A838" s="14">
        <v>2005.0</v>
      </c>
      <c r="B838" s="15" t="s">
        <v>206</v>
      </c>
      <c r="C838" s="14">
        <v>58.0</v>
      </c>
      <c r="D838" s="14">
        <v>0.0</v>
      </c>
      <c r="E838" s="18">
        <v>0.0</v>
      </c>
      <c r="F838" s="14">
        <v>0.0</v>
      </c>
      <c r="G838" s="14">
        <v>0.7</v>
      </c>
      <c r="H838" s="18">
        <v>0.0</v>
      </c>
      <c r="I838" s="14">
        <v>0.62</v>
      </c>
      <c r="J838" s="14"/>
      <c r="K838" s="14">
        <f>'Индекс с Дивидендами'!$J838/'Индекс с Дивидендами'!$C838</f>
        <v>0</v>
      </c>
    </row>
    <row r="839">
      <c r="A839" s="14">
        <v>2004.0</v>
      </c>
      <c r="B839" s="15" t="s">
        <v>137</v>
      </c>
      <c r="C839" s="14">
        <v>21.822</v>
      </c>
      <c r="D839" s="14">
        <v>0.0</v>
      </c>
      <c r="E839" s="18">
        <v>0.0</v>
      </c>
      <c r="F839" s="14">
        <v>0.0</v>
      </c>
      <c r="G839" s="14">
        <v>0.0</v>
      </c>
      <c r="H839" s="18">
        <v>0.0</v>
      </c>
      <c r="I839" s="14">
        <v>0.21</v>
      </c>
      <c r="J839" s="14">
        <v>2.0</v>
      </c>
      <c r="K839" s="20">
        <f>'Индекс с Дивидендами'!$J839/'Индекс с Дивидендами'!$C839</f>
        <v>0.09165062781</v>
      </c>
    </row>
    <row r="840" hidden="1">
      <c r="A840" s="14">
        <v>2004.0</v>
      </c>
      <c r="B840" s="15" t="s">
        <v>201</v>
      </c>
      <c r="C840" s="14">
        <f>777.03/40</f>
        <v>19.42575</v>
      </c>
      <c r="D840" s="14">
        <v>0.0</v>
      </c>
      <c r="E840" s="18">
        <v>0.0</v>
      </c>
      <c r="F840" s="14">
        <v>0.0</v>
      </c>
      <c r="G840" s="14">
        <v>0.7</v>
      </c>
      <c r="H840" s="18">
        <v>0.0</v>
      </c>
      <c r="I840" s="14">
        <v>0.67</v>
      </c>
      <c r="J840" s="14"/>
      <c r="K840" s="14">
        <f>'Индекс с Дивидендами'!$J840/'Индекс с Дивидендами'!$C840</f>
        <v>0</v>
      </c>
    </row>
    <row r="841">
      <c r="A841" s="14">
        <v>2004.0</v>
      </c>
      <c r="B841" s="15" t="s">
        <v>91</v>
      </c>
      <c r="C841" s="14">
        <v>40.0</v>
      </c>
      <c r="D841" s="14">
        <v>0.0</v>
      </c>
      <c r="E841" s="18">
        <v>0.0</v>
      </c>
      <c r="F841" s="14">
        <v>0.0</v>
      </c>
      <c r="G841" s="14">
        <v>0.0</v>
      </c>
      <c r="H841" s="18">
        <v>0.0</v>
      </c>
      <c r="I841" s="14">
        <v>0.78</v>
      </c>
      <c r="J841" s="14">
        <v>3.25301</v>
      </c>
      <c r="K841" s="20">
        <f>'Индекс с Дивидендами'!$J841/'Индекс с Дивидендами'!$C841</f>
        <v>0.08132525</v>
      </c>
    </row>
    <row r="842" hidden="1">
      <c r="A842" s="14">
        <v>2004.0</v>
      </c>
      <c r="B842" s="15" t="s">
        <v>202</v>
      </c>
      <c r="C842" s="14">
        <v>7.747</v>
      </c>
      <c r="D842" s="14">
        <v>0.0</v>
      </c>
      <c r="E842" s="18">
        <v>0.0</v>
      </c>
      <c r="F842" s="14">
        <v>0.0</v>
      </c>
      <c r="G842" s="14">
        <v>0.0</v>
      </c>
      <c r="H842" s="18">
        <v>0.0</v>
      </c>
      <c r="I842" s="14">
        <v>12.32</v>
      </c>
      <c r="J842" s="14"/>
      <c r="K842" s="14">
        <f>'Индекс с Дивидендами'!$J842/'Индекс с Дивидендами'!$C842</f>
        <v>0</v>
      </c>
    </row>
    <row r="843" hidden="1">
      <c r="A843" s="14">
        <v>2004.0</v>
      </c>
      <c r="B843" s="15" t="s">
        <v>203</v>
      </c>
      <c r="C843" s="14">
        <v>6.895</v>
      </c>
      <c r="D843" s="14">
        <v>0.0</v>
      </c>
      <c r="E843" s="18">
        <v>0.0</v>
      </c>
      <c r="F843" s="14">
        <v>0.0</v>
      </c>
      <c r="G843" s="14">
        <v>0.0</v>
      </c>
      <c r="H843" s="18">
        <v>0.0</v>
      </c>
      <c r="I843" s="14">
        <v>1.85</v>
      </c>
      <c r="J843" s="14"/>
      <c r="K843" s="14">
        <f>'Индекс с Дивидендами'!$J843/'Индекс с Дивидендами'!$C843</f>
        <v>0</v>
      </c>
    </row>
    <row r="844">
      <c r="A844" s="14">
        <v>2004.0</v>
      </c>
      <c r="B844" s="15" t="s">
        <v>78</v>
      </c>
      <c r="C844" s="14">
        <v>833.81</v>
      </c>
      <c r="D844" s="14">
        <v>0.0</v>
      </c>
      <c r="E844" s="18">
        <v>0.0</v>
      </c>
      <c r="F844" s="14">
        <v>0.0</v>
      </c>
      <c r="G844" s="14">
        <v>0.0</v>
      </c>
      <c r="H844" s="18">
        <v>0.0</v>
      </c>
      <c r="I844" s="14">
        <v>19.94</v>
      </c>
      <c r="J844" s="14">
        <v>24.0</v>
      </c>
      <c r="K844" s="20">
        <f>'Индекс с Дивидендами'!$J844/'Индекс с Дивидендами'!$C844</f>
        <v>0.02878353582</v>
      </c>
    </row>
    <row r="845">
      <c r="A845" s="14">
        <v>2004.0</v>
      </c>
      <c r="B845" s="15" t="s">
        <v>45</v>
      </c>
      <c r="C845" s="14">
        <f>1507.27/100</f>
        <v>15.0727</v>
      </c>
      <c r="D845" s="14">
        <v>0.0</v>
      </c>
      <c r="E845" s="18">
        <v>0.0</v>
      </c>
      <c r="F845" s="14">
        <v>0.0</v>
      </c>
      <c r="G845" s="14">
        <v>0.0</v>
      </c>
      <c r="H845" s="18">
        <v>0.0</v>
      </c>
      <c r="I845" s="14">
        <v>15.08</v>
      </c>
      <c r="J845" s="14">
        <f>41.1/100</f>
        <v>0.411</v>
      </c>
      <c r="K845" s="20">
        <f>'Индекс с Дивидендами'!$J845/'Индекс с Дивидендами'!$C845</f>
        <v>0.02726784186</v>
      </c>
    </row>
    <row r="846">
      <c r="A846" s="14">
        <v>2004.0</v>
      </c>
      <c r="B846" s="15" t="s">
        <v>136</v>
      </c>
      <c r="C846" s="14">
        <v>41.015</v>
      </c>
      <c r="D846" s="14">
        <v>0.0</v>
      </c>
      <c r="E846" s="18">
        <v>0.0</v>
      </c>
      <c r="F846" s="14">
        <v>0.0</v>
      </c>
      <c r="G846" s="14">
        <v>0.0</v>
      </c>
      <c r="H846" s="18">
        <v>0.0</v>
      </c>
      <c r="I846" s="14">
        <v>5.79</v>
      </c>
      <c r="J846" s="14">
        <v>0.97</v>
      </c>
      <c r="K846" s="20">
        <f>'Индекс с Дивидендами'!$J846/'Индекс с Дивидендами'!$C846</f>
        <v>0.02364988419</v>
      </c>
    </row>
    <row r="847">
      <c r="A847" s="14">
        <v>2004.0</v>
      </c>
      <c r="B847" s="15" t="s">
        <v>94</v>
      </c>
      <c r="C847" s="14">
        <f>139.19/20</f>
        <v>6.9595</v>
      </c>
      <c r="D847" s="14">
        <v>0.0</v>
      </c>
      <c r="E847" s="18">
        <v>0.0</v>
      </c>
      <c r="F847" s="14">
        <v>0.0</v>
      </c>
      <c r="G847" s="14">
        <v>0.0</v>
      </c>
      <c r="H847" s="18">
        <v>0.0</v>
      </c>
      <c r="I847" s="14">
        <v>0.9</v>
      </c>
      <c r="J847" s="14">
        <v>0.144</v>
      </c>
      <c r="K847" s="20">
        <f>'Индекс с Дивидендами'!$J847/'Индекс с Дивидендами'!$C847</f>
        <v>0.02069114161</v>
      </c>
    </row>
    <row r="848">
      <c r="A848" s="14">
        <v>2004.0</v>
      </c>
      <c r="B848" s="15" t="s">
        <v>90</v>
      </c>
      <c r="C848" s="14">
        <v>50.46</v>
      </c>
      <c r="D848" s="14">
        <v>0.0</v>
      </c>
      <c r="E848" s="18">
        <v>0.0</v>
      </c>
      <c r="F848" s="14">
        <v>0.0</v>
      </c>
      <c r="G848" s="14">
        <v>0.0</v>
      </c>
      <c r="H848" s="18">
        <v>0.0</v>
      </c>
      <c r="I848" s="14">
        <v>2.95</v>
      </c>
      <c r="J848" s="14">
        <v>0.87807</v>
      </c>
      <c r="K848" s="20">
        <f>'Индекс с Дивидендами'!$J848/'Индекс с Дивидендами'!$C848</f>
        <v>0.01740130797</v>
      </c>
    </row>
    <row r="849">
      <c r="A849" s="14">
        <v>2004.0</v>
      </c>
      <c r="B849" s="15" t="s">
        <v>205</v>
      </c>
      <c r="C849" s="14">
        <f>778.05/40</f>
        <v>19.45125</v>
      </c>
      <c r="D849" s="14">
        <v>0.0</v>
      </c>
      <c r="E849" s="18">
        <v>0.0</v>
      </c>
      <c r="F849" s="14">
        <v>0.0</v>
      </c>
      <c r="G849" s="14">
        <v>0.7</v>
      </c>
      <c r="H849" s="18">
        <v>0.0</v>
      </c>
      <c r="I849" s="14">
        <v>0.12</v>
      </c>
      <c r="J849" s="14">
        <v>0.2555</v>
      </c>
      <c r="K849" s="20">
        <f>'Индекс с Дивидендами'!$J849/'Индекс с Дивидендами'!$C849</f>
        <v>0.01313540261</v>
      </c>
    </row>
    <row r="850">
      <c r="A850" s="14">
        <v>2004.0</v>
      </c>
      <c r="B850" s="15" t="s">
        <v>39</v>
      </c>
      <c r="C850" s="14">
        <v>34.92</v>
      </c>
      <c r="D850" s="14">
        <v>0.0</v>
      </c>
      <c r="E850" s="18">
        <v>0.0</v>
      </c>
      <c r="F850" s="14">
        <v>0.0</v>
      </c>
      <c r="G850" s="14">
        <v>0.0</v>
      </c>
      <c r="H850" s="18">
        <v>0.0</v>
      </c>
      <c r="I850" s="14">
        <v>2.42</v>
      </c>
      <c r="J850" s="14">
        <v>0.4369</v>
      </c>
      <c r="K850" s="20">
        <f>'Индекс с Дивидендами'!$J850/'Индекс с Дивидендами'!$C850</f>
        <v>0.01251145475</v>
      </c>
    </row>
    <row r="851" hidden="1">
      <c r="A851" s="14">
        <v>2004.0</v>
      </c>
      <c r="B851" s="15" t="s">
        <v>143</v>
      </c>
      <c r="C851" s="14">
        <v>83.14</v>
      </c>
      <c r="D851" s="14">
        <v>0.0</v>
      </c>
      <c r="E851" s="18">
        <v>0.0</v>
      </c>
      <c r="F851" s="14">
        <v>0.0</v>
      </c>
      <c r="G851" s="14">
        <v>0.0</v>
      </c>
      <c r="H851" s="18">
        <v>0.0</v>
      </c>
      <c r="I851" s="14">
        <v>7.66</v>
      </c>
      <c r="J851" s="14"/>
      <c r="K851" s="14">
        <f>'Индекс с Дивидендами'!$J851/'Индекс с Дивидендами'!$C851</f>
        <v>0</v>
      </c>
    </row>
    <row r="852">
      <c r="A852" s="14">
        <v>2004.0</v>
      </c>
      <c r="B852" s="15" t="s">
        <v>142</v>
      </c>
      <c r="C852" s="14">
        <v>15.07</v>
      </c>
      <c r="D852" s="14">
        <v>0.0</v>
      </c>
      <c r="E852" s="18">
        <v>0.0</v>
      </c>
      <c r="F852" s="14">
        <v>0.0</v>
      </c>
      <c r="G852" s="14">
        <v>0.7</v>
      </c>
      <c r="H852" s="18">
        <v>0.0</v>
      </c>
      <c r="I852" s="14">
        <v>1.5</v>
      </c>
      <c r="J852" s="14">
        <v>0.16</v>
      </c>
      <c r="K852" s="20">
        <f>'Индекс с Дивидендами'!$J852/'Индекс с Дивидендами'!$C852</f>
        <v>0.01061712011</v>
      </c>
    </row>
    <row r="853">
      <c r="A853" s="14">
        <v>2004.0</v>
      </c>
      <c r="B853" s="15" t="s">
        <v>93</v>
      </c>
      <c r="C853" s="14">
        <f>13942.5/1000</f>
        <v>13.9425</v>
      </c>
      <c r="D853" s="14">
        <v>0.0</v>
      </c>
      <c r="E853" s="18">
        <v>0.0</v>
      </c>
      <c r="F853" s="14">
        <v>0.0</v>
      </c>
      <c r="G853" s="14">
        <v>0.0</v>
      </c>
      <c r="H853" s="18">
        <v>0.0</v>
      </c>
      <c r="I853" s="14">
        <v>13.73</v>
      </c>
      <c r="J853" s="14">
        <v>0.1337</v>
      </c>
      <c r="K853" s="20">
        <f>'Индекс с Дивидендами'!$J853/'Индекс с Дивидендами'!$C853</f>
        <v>0.009589384974</v>
      </c>
    </row>
    <row r="854">
      <c r="A854" s="14">
        <v>2004.0</v>
      </c>
      <c r="B854" s="15" t="s">
        <v>141</v>
      </c>
      <c r="C854" s="14">
        <v>20.564</v>
      </c>
      <c r="D854" s="14">
        <v>0.0</v>
      </c>
      <c r="E854" s="18">
        <v>0.0</v>
      </c>
      <c r="F854" s="14">
        <v>0.0</v>
      </c>
      <c r="G854" s="14">
        <v>0.7</v>
      </c>
      <c r="H854" s="18">
        <v>0.0</v>
      </c>
      <c r="I854" s="14">
        <v>6.9</v>
      </c>
      <c r="J854" s="14">
        <v>0.14</v>
      </c>
      <c r="K854" s="20">
        <f>'Индекс с Дивидендами'!$J854/'Индекс с Дивидендами'!$C854</f>
        <v>0.006808014005</v>
      </c>
    </row>
    <row r="855">
      <c r="A855" s="14">
        <v>2004.0</v>
      </c>
      <c r="B855" s="15" t="s">
        <v>126</v>
      </c>
      <c r="C855" s="14">
        <v>4.1</v>
      </c>
      <c r="D855" s="14">
        <v>0.0</v>
      </c>
      <c r="E855" s="18">
        <v>0.0</v>
      </c>
      <c r="F855" s="14">
        <v>0.0</v>
      </c>
      <c r="G855" s="14">
        <v>0.0</v>
      </c>
      <c r="H855" s="18">
        <v>0.0</v>
      </c>
      <c r="I855" s="14">
        <v>6.8</v>
      </c>
      <c r="J855" s="14">
        <v>0.0217</v>
      </c>
      <c r="K855" s="20">
        <f>'Индекс с Дивидендами'!$J855/'Индекс с Дивидендами'!$C855</f>
        <v>0.005292682927</v>
      </c>
    </row>
    <row r="856" hidden="1">
      <c r="A856" s="14">
        <v>2004.0</v>
      </c>
      <c r="B856" s="15" t="s">
        <v>206</v>
      </c>
      <c r="C856" s="14">
        <v>19.1</v>
      </c>
      <c r="D856" s="14">
        <v>0.0</v>
      </c>
      <c r="E856" s="18">
        <v>0.0</v>
      </c>
      <c r="F856" s="14">
        <v>0.0</v>
      </c>
      <c r="G856" s="14">
        <v>0.7</v>
      </c>
      <c r="H856" s="18">
        <v>0.0</v>
      </c>
      <c r="I856" s="14">
        <v>0.37</v>
      </c>
      <c r="J856" s="14"/>
      <c r="K856" s="14">
        <f>'Индекс с Дивидендами'!$J856/'Индекс с Дивидендами'!$C856</f>
        <v>0</v>
      </c>
    </row>
    <row r="857">
      <c r="A857" s="14">
        <v>2003.0</v>
      </c>
      <c r="B857" s="15" t="s">
        <v>137</v>
      </c>
      <c r="C857" s="14">
        <v>16.688</v>
      </c>
      <c r="D857" s="14">
        <v>0.0</v>
      </c>
      <c r="E857" s="18">
        <v>0.0</v>
      </c>
      <c r="F857" s="14">
        <v>0.0</v>
      </c>
      <c r="G857" s="14">
        <v>0.0</v>
      </c>
      <c r="H857" s="18">
        <v>0.0</v>
      </c>
      <c r="I857" s="14">
        <v>0.17</v>
      </c>
      <c r="J857" s="14">
        <v>1.0</v>
      </c>
      <c r="K857" s="20">
        <f>'Индекс с Дивидендами'!$J857/'Индекс с Дивидендами'!$C857</f>
        <v>0.05992329818</v>
      </c>
    </row>
    <row r="858" hidden="1">
      <c r="A858" s="14">
        <v>2003.0</v>
      </c>
      <c r="B858" s="15" t="s">
        <v>201</v>
      </c>
      <c r="C858" s="14">
        <f>769.59/40</f>
        <v>19.23975</v>
      </c>
      <c r="D858" s="14">
        <v>0.0</v>
      </c>
      <c r="E858" s="18">
        <v>0.0</v>
      </c>
      <c r="F858" s="14">
        <v>0.0</v>
      </c>
      <c r="G858" s="14">
        <v>0.7</v>
      </c>
      <c r="H858" s="18">
        <v>0.0</v>
      </c>
      <c r="I858" s="14">
        <v>0.71</v>
      </c>
      <c r="J858" s="14"/>
      <c r="K858" s="14">
        <f>'Индекс с Дивидендами'!$J858/'Индекс с Дивидендами'!$C858</f>
        <v>0</v>
      </c>
    </row>
    <row r="859">
      <c r="A859" s="14">
        <v>2003.0</v>
      </c>
      <c r="B859" s="15" t="s">
        <v>45</v>
      </c>
      <c r="C859" s="14">
        <f>1900/100</f>
        <v>19</v>
      </c>
      <c r="D859" s="14">
        <v>0.0</v>
      </c>
      <c r="E859" s="18">
        <v>0.0</v>
      </c>
      <c r="F859" s="14">
        <v>0.0</v>
      </c>
      <c r="G859" s="14">
        <v>0.0</v>
      </c>
      <c r="H859" s="18">
        <v>0.0</v>
      </c>
      <c r="I859" s="14">
        <v>20.4</v>
      </c>
      <c r="J859" s="14">
        <f>63.8/100</f>
        <v>0.638</v>
      </c>
      <c r="K859" s="20">
        <f>'Индекс с Дивидендами'!$J859/'Индекс с Дивидендами'!$C859</f>
        <v>0.03357894737</v>
      </c>
    </row>
    <row r="860" hidden="1">
      <c r="A860" s="14">
        <v>2003.0</v>
      </c>
      <c r="B860" s="15" t="s">
        <v>202</v>
      </c>
      <c r="C860" s="14">
        <v>8.108</v>
      </c>
      <c r="D860" s="14">
        <v>0.0</v>
      </c>
      <c r="E860" s="18">
        <v>0.0</v>
      </c>
      <c r="F860" s="14">
        <v>0.0</v>
      </c>
      <c r="G860" s="14">
        <v>0.0</v>
      </c>
      <c r="H860" s="18">
        <v>0.0</v>
      </c>
      <c r="I860" s="14">
        <v>13.83</v>
      </c>
      <c r="J860" s="14"/>
      <c r="K860" s="14">
        <f>'Индекс с Дивидендами'!$J860/'Индекс с Дивидендами'!$C860</f>
        <v>0</v>
      </c>
    </row>
    <row r="861" hidden="1">
      <c r="A861" s="14">
        <v>2003.0</v>
      </c>
      <c r="B861" s="15" t="s">
        <v>203</v>
      </c>
      <c r="C861" s="14">
        <v>7.221</v>
      </c>
      <c r="D861" s="14">
        <v>0.0</v>
      </c>
      <c r="E861" s="18">
        <v>0.0</v>
      </c>
      <c r="F861" s="14">
        <v>0.0</v>
      </c>
      <c r="G861" s="14">
        <v>0.0</v>
      </c>
      <c r="H861" s="18">
        <v>0.0</v>
      </c>
      <c r="I861" s="14">
        <v>2.08</v>
      </c>
      <c r="J861" s="14"/>
      <c r="K861" s="14">
        <f>'Индекс с Дивидендами'!$J861/'Индекс с Дивидендами'!$C861</f>
        <v>0</v>
      </c>
    </row>
    <row r="862">
      <c r="A862" s="14">
        <v>2003.0</v>
      </c>
      <c r="B862" s="15" t="s">
        <v>91</v>
      </c>
      <c r="C862" s="14">
        <v>41.42</v>
      </c>
      <c r="D862" s="14">
        <v>0.0</v>
      </c>
      <c r="E862" s="18">
        <v>0.0</v>
      </c>
      <c r="F862" s="14">
        <v>0.0</v>
      </c>
      <c r="G862" s="14">
        <v>0.0</v>
      </c>
      <c r="H862" s="18">
        <v>0.0</v>
      </c>
      <c r="I862" s="14">
        <v>0.87</v>
      </c>
      <c r="J862" s="14">
        <v>1.27472</v>
      </c>
      <c r="K862" s="20">
        <f>'Индекс с Дивидендами'!$J862/'Индекс с Дивидендами'!$C862</f>
        <v>0.03077547079</v>
      </c>
    </row>
    <row r="863">
      <c r="A863" s="14">
        <v>2003.0</v>
      </c>
      <c r="B863" s="15" t="s">
        <v>78</v>
      </c>
      <c r="C863" s="14">
        <v>674.91</v>
      </c>
      <c r="D863" s="14">
        <v>0.0</v>
      </c>
      <c r="E863" s="18">
        <v>0.0</v>
      </c>
      <c r="F863" s="14">
        <v>0.0</v>
      </c>
      <c r="G863" s="14">
        <v>0.0</v>
      </c>
      <c r="H863" s="18">
        <v>0.0</v>
      </c>
      <c r="I863" s="14">
        <v>17.32</v>
      </c>
      <c r="J863" s="14">
        <v>19.5</v>
      </c>
      <c r="K863" s="20">
        <f>'Индекс с Дивидендами'!$J863/'Индекс с Дивидендами'!$C863</f>
        <v>0.02889274125</v>
      </c>
    </row>
    <row r="864">
      <c r="A864" s="14">
        <v>2003.0</v>
      </c>
      <c r="B864" s="15" t="s">
        <v>94</v>
      </c>
      <c r="C864" s="14">
        <f>104.05/20</f>
        <v>5.2025</v>
      </c>
      <c r="D864" s="14">
        <v>0.0</v>
      </c>
      <c r="E864" s="18">
        <v>0.0</v>
      </c>
      <c r="F864" s="14">
        <v>0.0</v>
      </c>
      <c r="G864" s="14">
        <v>0.0</v>
      </c>
      <c r="H864" s="18">
        <v>0.0</v>
      </c>
      <c r="I864" s="14">
        <v>0.72</v>
      </c>
      <c r="J864" s="14">
        <v>0.116</v>
      </c>
      <c r="K864" s="20">
        <f>'Индекс с Дивидендами'!$J864/'Индекс с Дивидендами'!$C864</f>
        <v>0.02229697261</v>
      </c>
    </row>
    <row r="865">
      <c r="A865" s="14">
        <v>2003.0</v>
      </c>
      <c r="B865" s="15" t="s">
        <v>205</v>
      </c>
      <c r="C865" s="14">
        <f>469.55/40</f>
        <v>11.73875</v>
      </c>
      <c r="D865" s="14">
        <v>0.0</v>
      </c>
      <c r="E865" s="18">
        <v>0.0</v>
      </c>
      <c r="F865" s="14">
        <v>0.0</v>
      </c>
      <c r="G865" s="14">
        <v>0.7</v>
      </c>
      <c r="H865" s="18">
        <v>0.0</v>
      </c>
      <c r="I865" s="14">
        <v>0.08</v>
      </c>
      <c r="J865" s="14">
        <v>0.1823</v>
      </c>
      <c r="K865" s="20">
        <f>'Индекс с Дивидендами'!$J865/'Индекс с Дивидендами'!$C865</f>
        <v>0.01552976254</v>
      </c>
    </row>
    <row r="866">
      <c r="A866" s="14">
        <v>2003.0</v>
      </c>
      <c r="B866" s="15" t="s">
        <v>39</v>
      </c>
      <c r="C866" s="14">
        <v>19.99</v>
      </c>
      <c r="D866" s="14">
        <v>0.0</v>
      </c>
      <c r="E866" s="18">
        <v>0.0</v>
      </c>
      <c r="F866" s="14">
        <v>0.0</v>
      </c>
      <c r="G866" s="14">
        <v>0.0</v>
      </c>
      <c r="H866" s="18">
        <v>0.0</v>
      </c>
      <c r="I866" s="14">
        <v>1.49</v>
      </c>
      <c r="J866" s="14">
        <v>0.29</v>
      </c>
      <c r="K866" s="20">
        <f>'Индекс с Дивидендами'!$J866/'Индекс с Дивидендами'!$C866</f>
        <v>0.01450725363</v>
      </c>
    </row>
    <row r="867">
      <c r="A867" s="14">
        <v>2003.0</v>
      </c>
      <c r="B867" s="15" t="s">
        <v>93</v>
      </c>
      <c r="C867" s="14">
        <f>7574.18/1000</f>
        <v>7.57418</v>
      </c>
      <c r="D867" s="14">
        <v>0.0</v>
      </c>
      <c r="E867" s="18">
        <v>0.0</v>
      </c>
      <c r="F867" s="14">
        <v>0.0</v>
      </c>
      <c r="G867" s="14">
        <v>0.0</v>
      </c>
      <c r="H867" s="18">
        <v>0.0</v>
      </c>
      <c r="I867" s="14">
        <v>8.0</v>
      </c>
      <c r="J867" s="14">
        <v>0.1083</v>
      </c>
      <c r="K867" s="20">
        <f>'Индекс с Дивидендами'!$J867/'Индекс с Дивидендами'!$C867</f>
        <v>0.01429857754</v>
      </c>
    </row>
    <row r="868">
      <c r="A868" s="14">
        <v>2003.0</v>
      </c>
      <c r="B868" s="15" t="s">
        <v>126</v>
      </c>
      <c r="C868" s="14">
        <v>1.958</v>
      </c>
      <c r="D868" s="14">
        <v>0.0</v>
      </c>
      <c r="E868" s="18">
        <v>0.0</v>
      </c>
      <c r="F868" s="14">
        <v>0.0</v>
      </c>
      <c r="G868" s="14">
        <v>0.0</v>
      </c>
      <c r="H868" s="18">
        <v>0.0</v>
      </c>
      <c r="I868" s="14">
        <v>3.48</v>
      </c>
      <c r="J868" s="14">
        <v>0.0184</v>
      </c>
      <c r="K868" s="20">
        <f>'Индекс с Дивидендами'!$J868/'Индекс с Дивидендами'!$C868</f>
        <v>0.009397344229</v>
      </c>
    </row>
    <row r="869" hidden="1">
      <c r="A869" s="14">
        <v>2003.0</v>
      </c>
      <c r="B869" s="15" t="s">
        <v>143</v>
      </c>
      <c r="C869" s="14">
        <v>83.32</v>
      </c>
      <c r="D869" s="14">
        <v>0.0</v>
      </c>
      <c r="E869" s="18">
        <v>0.0</v>
      </c>
      <c r="F869" s="14">
        <v>0.0</v>
      </c>
      <c r="G869" s="14">
        <v>0.0</v>
      </c>
      <c r="H869" s="18">
        <v>0.0</v>
      </c>
      <c r="I869" s="14">
        <v>8.24</v>
      </c>
      <c r="J869" s="14"/>
      <c r="K869" s="14">
        <f>'Индекс с Дивидендами'!$J869/'Индекс с Дивидендами'!$C869</f>
        <v>0</v>
      </c>
    </row>
    <row r="870">
      <c r="A870" s="14">
        <v>2003.0</v>
      </c>
      <c r="B870" s="15" t="s">
        <v>90</v>
      </c>
      <c r="C870" s="14">
        <v>59.79</v>
      </c>
      <c r="D870" s="14">
        <v>0.0</v>
      </c>
      <c r="E870" s="18">
        <v>0.0</v>
      </c>
      <c r="F870" s="14">
        <v>0.0</v>
      </c>
      <c r="G870" s="14">
        <v>0.0</v>
      </c>
      <c r="H870" s="18">
        <v>0.0</v>
      </c>
      <c r="I870" s="14">
        <v>3.76</v>
      </c>
      <c r="J870" s="14">
        <v>0.54347</v>
      </c>
      <c r="K870" s="20">
        <f>'Индекс с Дивидендами'!$J870/'Индекс с Дивидендами'!$C870</f>
        <v>0.009089647098</v>
      </c>
    </row>
    <row r="871">
      <c r="A871" s="14">
        <v>2003.0</v>
      </c>
      <c r="B871" s="15" t="s">
        <v>142</v>
      </c>
      <c r="C871" s="14">
        <v>11.378</v>
      </c>
      <c r="D871" s="14">
        <v>0.0</v>
      </c>
      <c r="E871" s="18">
        <v>0.0</v>
      </c>
      <c r="F871" s="14">
        <v>0.0</v>
      </c>
      <c r="G871" s="14">
        <v>0.7</v>
      </c>
      <c r="H871" s="18">
        <v>0.0</v>
      </c>
      <c r="I871" s="14">
        <v>1.22</v>
      </c>
      <c r="J871" s="14">
        <v>0.096</v>
      </c>
      <c r="K871" s="20">
        <f>'Индекс с Дивидендами'!$J871/'Индекс с Дивидендами'!$C871</f>
        <v>0.008437335208</v>
      </c>
    </row>
    <row r="872">
      <c r="A872" s="14">
        <v>2003.0</v>
      </c>
      <c r="B872" s="15" t="s">
        <v>136</v>
      </c>
      <c r="C872" s="14">
        <v>32.8</v>
      </c>
      <c r="D872" s="14">
        <v>0.0</v>
      </c>
      <c r="E872" s="18">
        <v>0.0</v>
      </c>
      <c r="F872" s="14">
        <v>0.0</v>
      </c>
      <c r="G872" s="14">
        <v>0.0</v>
      </c>
      <c r="H872" s="18">
        <v>0.0</v>
      </c>
      <c r="I872" s="14">
        <v>4.97</v>
      </c>
      <c r="J872" s="14">
        <v>0.1</v>
      </c>
      <c r="K872" s="20">
        <f>'Индекс с Дивидендами'!$J872/'Индекс с Дивидендами'!$C872</f>
        <v>0.003048780488</v>
      </c>
    </row>
    <row r="873">
      <c r="A873" s="14">
        <v>2003.0</v>
      </c>
      <c r="B873" s="15" t="s">
        <v>141</v>
      </c>
      <c r="C873" s="14">
        <v>17.19</v>
      </c>
      <c r="D873" s="14">
        <v>0.0</v>
      </c>
      <c r="E873" s="18">
        <v>0.0</v>
      </c>
      <c r="F873" s="14">
        <v>0.0</v>
      </c>
      <c r="G873" s="14">
        <v>0.7</v>
      </c>
      <c r="H873" s="18">
        <v>0.0</v>
      </c>
      <c r="I873" s="14">
        <v>6.19</v>
      </c>
      <c r="J873" s="14">
        <v>0.032</v>
      </c>
      <c r="K873" s="20">
        <f>'Индекс с Дивидендами'!$J873/'Индекс с Дивидендами'!$C873</f>
        <v>0.001861547411</v>
      </c>
    </row>
    <row r="874" hidden="1">
      <c r="A874" s="14">
        <v>2003.0</v>
      </c>
      <c r="B874" s="15" t="s">
        <v>206</v>
      </c>
      <c r="C874" s="14">
        <v>309.48</v>
      </c>
      <c r="D874" s="14">
        <v>0.0</v>
      </c>
      <c r="E874" s="18">
        <v>0.0</v>
      </c>
      <c r="F874" s="14">
        <v>0.0</v>
      </c>
      <c r="G874" s="14">
        <v>0.7</v>
      </c>
      <c r="H874" s="18">
        <v>0.0</v>
      </c>
      <c r="I874" s="14">
        <v>6.49</v>
      </c>
      <c r="J874" s="14"/>
      <c r="K874" s="14">
        <f>'Индекс с Дивидендами'!$J874/'Индекс с Дивидендами'!$C874</f>
        <v>0</v>
      </c>
    </row>
    <row r="875">
      <c r="A875" s="14">
        <v>2002.0</v>
      </c>
      <c r="B875" s="15" t="s">
        <v>137</v>
      </c>
      <c r="C875" s="14">
        <v>14.384</v>
      </c>
      <c r="D875" s="14">
        <v>0.0</v>
      </c>
      <c r="E875" s="18">
        <v>0.0</v>
      </c>
      <c r="F875" s="14">
        <v>0.0</v>
      </c>
      <c r="G875" s="14">
        <v>0.0</v>
      </c>
      <c r="H875" s="18">
        <v>0.0</v>
      </c>
      <c r="I875" s="14">
        <v>0.2</v>
      </c>
      <c r="J875" s="14">
        <v>1.0</v>
      </c>
      <c r="K875" s="20">
        <f>'Индекс с Дивидендами'!$J875/'Индекс с Дивидендами'!$C875</f>
        <v>0.06952169077</v>
      </c>
    </row>
    <row r="876" hidden="1">
      <c r="A876" s="14">
        <v>2002.0</v>
      </c>
      <c r="B876" s="15" t="s">
        <v>201</v>
      </c>
      <c r="C876" s="14">
        <f>678.057/40</f>
        <v>16.951425</v>
      </c>
      <c r="D876" s="14">
        <v>0.0</v>
      </c>
      <c r="E876" s="18">
        <v>0.0</v>
      </c>
      <c r="F876" s="14">
        <v>0.0</v>
      </c>
      <c r="G876" s="14">
        <v>0.0</v>
      </c>
      <c r="H876" s="18">
        <v>0.0</v>
      </c>
      <c r="I876" s="14">
        <v>1.3</v>
      </c>
      <c r="J876" s="14"/>
      <c r="K876" s="14">
        <f>'Индекс с Дивидендами'!$J876/'Индекс с Дивидендами'!$C876</f>
        <v>0</v>
      </c>
    </row>
    <row r="877">
      <c r="A877" s="14">
        <v>2002.0</v>
      </c>
      <c r="B877" s="15" t="s">
        <v>91</v>
      </c>
      <c r="C877" s="14">
        <v>23.982</v>
      </c>
      <c r="D877" s="14">
        <v>0.0</v>
      </c>
      <c r="E877" s="18">
        <v>0.0</v>
      </c>
      <c r="F877" s="14">
        <v>0.0</v>
      </c>
      <c r="G877" s="14">
        <v>0.0</v>
      </c>
      <c r="H877" s="18">
        <v>0.0</v>
      </c>
      <c r="I877" s="14">
        <v>0.8</v>
      </c>
      <c r="J877" s="14">
        <v>0.9195237</v>
      </c>
      <c r="K877" s="20">
        <f>'Индекс с Дивидендами'!$J877/'Индекс с Дивидендами'!$C877</f>
        <v>0.03834224418</v>
      </c>
    </row>
    <row r="878" hidden="1">
      <c r="A878" s="14">
        <v>2002.0</v>
      </c>
      <c r="B878" s="15" t="s">
        <v>202</v>
      </c>
      <c r="C878" s="14">
        <v>4.089</v>
      </c>
      <c r="D878" s="14">
        <v>0.0</v>
      </c>
      <c r="E878" s="18">
        <v>0.0</v>
      </c>
      <c r="F878" s="14">
        <v>0.0</v>
      </c>
      <c r="G878" s="14">
        <v>0.0</v>
      </c>
      <c r="H878" s="18">
        <v>0.0</v>
      </c>
      <c r="I878" s="14">
        <v>10.6</v>
      </c>
      <c r="J878" s="14"/>
      <c r="K878" s="14">
        <f>'Индекс с Дивидендами'!$J878/'Индекс с Дивидендами'!$C878</f>
        <v>0</v>
      </c>
    </row>
    <row r="879" hidden="1">
      <c r="A879" s="14">
        <v>2002.0</v>
      </c>
      <c r="B879" s="15" t="s">
        <v>203</v>
      </c>
      <c r="C879" s="14">
        <v>3.372</v>
      </c>
      <c r="D879" s="14">
        <v>0.0</v>
      </c>
      <c r="E879" s="18">
        <v>0.0</v>
      </c>
      <c r="F879" s="14">
        <v>0.0</v>
      </c>
      <c r="G879" s="14">
        <v>0.0</v>
      </c>
      <c r="H879" s="18">
        <v>0.0</v>
      </c>
      <c r="I879" s="14">
        <v>0.7</v>
      </c>
      <c r="J879" s="14"/>
      <c r="K879" s="14">
        <f>'Индекс с Дивидендами'!$J879/'Индекс с Дивидендами'!$C879</f>
        <v>0</v>
      </c>
    </row>
    <row r="880">
      <c r="A880" s="14">
        <v>2002.0</v>
      </c>
      <c r="B880" s="15" t="s">
        <v>45</v>
      </c>
      <c r="C880" s="14">
        <f>652.259/100</f>
        <v>6.52259</v>
      </c>
      <c r="D880" s="14">
        <v>0.0</v>
      </c>
      <c r="E880" s="18">
        <v>0.0</v>
      </c>
      <c r="F880" s="14">
        <v>0.0</v>
      </c>
      <c r="G880" s="14">
        <v>0.0</v>
      </c>
      <c r="H880" s="18">
        <v>0.0</v>
      </c>
      <c r="I880" s="14">
        <v>8.0</v>
      </c>
      <c r="J880" s="14">
        <f>23/100</f>
        <v>0.23</v>
      </c>
      <c r="K880" s="20">
        <f>'Индекс с Дивидендами'!$J880/'Индекс с Дивидендами'!$C880</f>
        <v>0.03526206614</v>
      </c>
    </row>
    <row r="881">
      <c r="A881" s="14">
        <v>2002.0</v>
      </c>
      <c r="B881" s="15" t="s">
        <v>78</v>
      </c>
      <c r="C881" s="14">
        <v>489.421</v>
      </c>
      <c r="D881" s="14">
        <v>0.0</v>
      </c>
      <c r="E881" s="18">
        <v>0.0</v>
      </c>
      <c r="F881" s="14">
        <v>0.0</v>
      </c>
      <c r="G881" s="14">
        <v>0.0</v>
      </c>
      <c r="H881" s="18">
        <v>0.0</v>
      </c>
      <c r="I881" s="14">
        <v>14.3</v>
      </c>
      <c r="J881" s="14">
        <v>15.0</v>
      </c>
      <c r="K881" s="20">
        <f>'Индекс с Дивидендами'!$J881/'Индекс с Дивидендами'!$C881</f>
        <v>0.03064846012</v>
      </c>
    </row>
    <row r="882">
      <c r="A882" s="14">
        <v>2002.0</v>
      </c>
      <c r="B882" s="15" t="s">
        <v>126</v>
      </c>
      <c r="C882" s="14">
        <v>1.001</v>
      </c>
      <c r="D882" s="14">
        <v>0.0</v>
      </c>
      <c r="E882" s="18">
        <v>0.0</v>
      </c>
      <c r="F882" s="14">
        <v>0.0</v>
      </c>
      <c r="G882" s="14">
        <v>0.0</v>
      </c>
      <c r="H882" s="18">
        <v>0.0</v>
      </c>
      <c r="I882" s="14">
        <v>2.4</v>
      </c>
      <c r="J882" s="14">
        <v>0.01837</v>
      </c>
      <c r="K882" s="20">
        <f>'Индекс с Дивидендами'!$J882/'Индекс с Дивидендами'!$C882</f>
        <v>0.01835164835</v>
      </c>
    </row>
    <row r="883">
      <c r="A883" s="14">
        <v>2002.0</v>
      </c>
      <c r="B883" s="15" t="s">
        <v>94</v>
      </c>
      <c r="C883" s="14">
        <f>70.26/20</f>
        <v>3.513</v>
      </c>
      <c r="D883" s="14">
        <v>0.0</v>
      </c>
      <c r="E883" s="18">
        <v>0.0</v>
      </c>
      <c r="F883" s="14">
        <v>0.0</v>
      </c>
      <c r="G883" s="14">
        <v>0.0</v>
      </c>
      <c r="H883" s="18">
        <v>0.0</v>
      </c>
      <c r="I883" s="14">
        <v>0.3</v>
      </c>
      <c r="J883" s="14">
        <v>0.057</v>
      </c>
      <c r="K883" s="20">
        <f>'Индекс с Дивидендами'!$J883/'Индекс с Дивидендами'!$C883</f>
        <v>0.01622544833</v>
      </c>
    </row>
    <row r="884">
      <c r="A884" s="14">
        <v>2002.0</v>
      </c>
      <c r="B884" s="15" t="s">
        <v>205</v>
      </c>
      <c r="C884" s="14">
        <f>365.531/40</f>
        <v>9.138275</v>
      </c>
      <c r="D884" s="14">
        <v>0.0</v>
      </c>
      <c r="E884" s="18">
        <v>0.0</v>
      </c>
      <c r="F884" s="14">
        <v>0.0</v>
      </c>
      <c r="G884" s="14">
        <v>0.0</v>
      </c>
      <c r="H884" s="18">
        <v>0.0</v>
      </c>
      <c r="I884" s="14">
        <v>0.2</v>
      </c>
      <c r="J884" s="14">
        <v>0.1278</v>
      </c>
      <c r="K884" s="20">
        <f>'Индекс с Дивидендами'!$J884/'Индекс с Дивидендами'!$C884</f>
        <v>0.01398513396</v>
      </c>
    </row>
    <row r="885">
      <c r="A885" s="14">
        <v>2002.0</v>
      </c>
      <c r="B885" s="15" t="s">
        <v>142</v>
      </c>
      <c r="C885" s="14">
        <v>7.454</v>
      </c>
      <c r="D885" s="14">
        <v>0.0</v>
      </c>
      <c r="E885" s="18">
        <v>0.0</v>
      </c>
      <c r="F885" s="14">
        <v>0.0</v>
      </c>
      <c r="G885" s="14">
        <v>0.0</v>
      </c>
      <c r="H885" s="18">
        <v>0.0</v>
      </c>
      <c r="I885" s="14">
        <v>2.5</v>
      </c>
      <c r="J885" s="14">
        <v>0.1</v>
      </c>
      <c r="K885" s="20">
        <f>'Индекс с Дивидендами'!$J885/'Индекс с Дивидендами'!$C885</f>
        <v>0.01341561578</v>
      </c>
    </row>
    <row r="886">
      <c r="A886" s="14">
        <v>2002.0</v>
      </c>
      <c r="B886" s="15" t="s">
        <v>93</v>
      </c>
      <c r="C886" s="14">
        <f>6060.242/1000</f>
        <v>6.060242</v>
      </c>
      <c r="D886" s="14">
        <v>0.0</v>
      </c>
      <c r="E886" s="18">
        <v>0.0</v>
      </c>
      <c r="F886" s="14">
        <v>0.0</v>
      </c>
      <c r="G886" s="14">
        <v>0.0</v>
      </c>
      <c r="H886" s="18">
        <v>0.0</v>
      </c>
      <c r="I886" s="14">
        <v>6.9</v>
      </c>
      <c r="J886" s="14">
        <v>0.0525</v>
      </c>
      <c r="K886" s="20">
        <f>'Индекс с Дивидендами'!$J886/'Индекс с Дивидендами'!$C886</f>
        <v>0.008663020388</v>
      </c>
    </row>
    <row r="887" hidden="1">
      <c r="A887" s="14">
        <v>2002.0</v>
      </c>
      <c r="B887" s="15" t="s">
        <v>143</v>
      </c>
      <c r="C887" s="14">
        <v>70.516</v>
      </c>
      <c r="D887" s="14">
        <v>0.0</v>
      </c>
      <c r="E887" s="18">
        <v>0.0</v>
      </c>
      <c r="F887" s="14">
        <v>0.0</v>
      </c>
      <c r="G887" s="14">
        <v>0.0</v>
      </c>
      <c r="H887" s="18">
        <v>0.0</v>
      </c>
      <c r="I887" s="14">
        <v>6.9</v>
      </c>
      <c r="J887" s="14"/>
      <c r="K887" s="14">
        <f>'Индекс с Дивидендами'!$J887/'Индекс с Дивидендами'!$C887</f>
        <v>0</v>
      </c>
    </row>
    <row r="888">
      <c r="A888" s="14">
        <v>2002.0</v>
      </c>
      <c r="B888" s="15" t="s">
        <v>90</v>
      </c>
      <c r="C888" s="14">
        <v>37.881</v>
      </c>
      <c r="D888" s="14">
        <v>0.0</v>
      </c>
      <c r="E888" s="18">
        <v>0.0</v>
      </c>
      <c r="F888" s="14">
        <v>0.0</v>
      </c>
      <c r="G888" s="14">
        <v>0.0</v>
      </c>
      <c r="H888" s="18">
        <v>0.0</v>
      </c>
      <c r="I888" s="14">
        <v>3.8</v>
      </c>
      <c r="J888" s="14">
        <v>0.2144961</v>
      </c>
      <c r="K888" s="20">
        <f>'Индекс с Дивидендами'!$J888/'Индекс с Дивидендами'!$C888</f>
        <v>0.005662366358</v>
      </c>
    </row>
    <row r="889">
      <c r="A889" s="14">
        <v>2002.0</v>
      </c>
      <c r="B889" s="15" t="s">
        <v>39</v>
      </c>
      <c r="C889" s="14">
        <v>10.878</v>
      </c>
      <c r="D889" s="14">
        <v>0.0</v>
      </c>
      <c r="E889" s="18">
        <v>0.0</v>
      </c>
      <c r="F889" s="14">
        <v>0.0</v>
      </c>
      <c r="G889" s="14">
        <v>0.0</v>
      </c>
      <c r="H889" s="18">
        <v>0.0</v>
      </c>
      <c r="I889" s="14">
        <v>0.4</v>
      </c>
      <c r="J889" s="14">
        <v>0.06</v>
      </c>
      <c r="K889" s="20">
        <f>'Индекс с Дивидендами'!$J889/'Индекс с Дивидендами'!$C889</f>
        <v>0.005515719801</v>
      </c>
    </row>
    <row r="890">
      <c r="A890" s="14">
        <v>2002.0</v>
      </c>
      <c r="B890" s="15" t="s">
        <v>136</v>
      </c>
      <c r="C890" s="14">
        <v>24.758</v>
      </c>
      <c r="D890" s="14">
        <v>0.0</v>
      </c>
      <c r="E890" s="18">
        <v>0.0</v>
      </c>
      <c r="F890" s="14">
        <v>0.0</v>
      </c>
      <c r="G890" s="14">
        <v>0.0</v>
      </c>
      <c r="H890" s="18">
        <v>0.0</v>
      </c>
      <c r="I890" s="14">
        <v>3.2</v>
      </c>
      <c r="J890" s="14">
        <v>0.1</v>
      </c>
      <c r="K890" s="20">
        <f>'Индекс с Дивидендами'!$J890/'Индекс с Дивидендами'!$C890</f>
        <v>0.004039098473</v>
      </c>
    </row>
    <row r="891">
      <c r="A891" s="14">
        <v>2002.0</v>
      </c>
      <c r="B891" s="15" t="s">
        <v>141</v>
      </c>
      <c r="C891" s="14">
        <v>10.122</v>
      </c>
      <c r="D891" s="14">
        <v>0.0</v>
      </c>
      <c r="E891" s="18">
        <v>0.0</v>
      </c>
      <c r="F891" s="14">
        <v>0.0</v>
      </c>
      <c r="G891" s="14">
        <v>0.0</v>
      </c>
      <c r="H891" s="18">
        <v>0.0</v>
      </c>
      <c r="I891" s="14">
        <v>14.1</v>
      </c>
      <c r="J891" s="14">
        <v>0.033</v>
      </c>
      <c r="K891" s="20">
        <f>'Индекс с Дивидендами'!$J891/'Индекс с Дивидендами'!$C891</f>
        <v>0.003260225252</v>
      </c>
    </row>
    <row r="892" hidden="1">
      <c r="A892" s="14">
        <v>2002.0</v>
      </c>
      <c r="B892" s="15" t="s">
        <v>206</v>
      </c>
      <c r="C892" s="14">
        <v>296.94</v>
      </c>
      <c r="D892" s="14">
        <v>0.0</v>
      </c>
      <c r="E892" s="18">
        <v>0.0</v>
      </c>
      <c r="F892" s="14">
        <v>0.0</v>
      </c>
      <c r="G892" s="14">
        <v>0.0</v>
      </c>
      <c r="H892" s="18">
        <v>0.0</v>
      </c>
      <c r="I892" s="14">
        <v>23.4</v>
      </c>
      <c r="J892" s="14"/>
      <c r="K892" s="14">
        <f>'Индекс с Дивидендами'!$J892/'Индекс с Дивидендами'!$C892</f>
        <v>0</v>
      </c>
    </row>
    <row r="893">
      <c r="A893" s="14">
        <v>2001.0</v>
      </c>
      <c r="B893" s="15" t="s">
        <v>78</v>
      </c>
      <c r="C893" s="14">
        <v>365.076</v>
      </c>
      <c r="D893" s="14">
        <v>0.0</v>
      </c>
      <c r="E893" s="18">
        <v>0.0</v>
      </c>
      <c r="F893" s="14">
        <v>0.0</v>
      </c>
      <c r="G893" s="14">
        <v>0.0</v>
      </c>
      <c r="H893" s="18">
        <v>0.0</v>
      </c>
      <c r="I893" s="14">
        <v>36.8</v>
      </c>
      <c r="J893" s="14">
        <v>8.0</v>
      </c>
      <c r="K893" s="20">
        <f>'Индекс с Дивидендами'!$J893/'Индекс с Дивидендами'!$C893</f>
        <v>0.02191324546</v>
      </c>
    </row>
    <row r="894" hidden="1">
      <c r="A894" s="14">
        <v>2001.0</v>
      </c>
      <c r="B894" s="15" t="s">
        <v>207</v>
      </c>
      <c r="C894" s="14">
        <v>1000.0</v>
      </c>
      <c r="D894" s="14">
        <v>0.0</v>
      </c>
      <c r="E894" s="18">
        <v>0.0</v>
      </c>
      <c r="F894" s="14">
        <v>0.0</v>
      </c>
      <c r="G894" s="14">
        <v>0.0</v>
      </c>
      <c r="H894" s="18">
        <v>0.0</v>
      </c>
      <c r="I894" s="14">
        <v>0.0</v>
      </c>
      <c r="J894" s="14"/>
      <c r="K894" s="14">
        <f>'Индекс с Дивидендами'!$J894/'Индекс с Дивидендами'!$C894</f>
        <v>0</v>
      </c>
    </row>
    <row r="895" hidden="1">
      <c r="A895" s="14">
        <v>2001.0</v>
      </c>
      <c r="B895" s="15" t="s">
        <v>202</v>
      </c>
      <c r="C895" s="14">
        <v>4.712</v>
      </c>
      <c r="D895" s="14">
        <v>0.0</v>
      </c>
      <c r="E895" s="18">
        <v>0.0</v>
      </c>
      <c r="F895" s="14">
        <v>0.0</v>
      </c>
      <c r="G895" s="14">
        <v>0.0</v>
      </c>
      <c r="H895" s="18">
        <v>0.0</v>
      </c>
      <c r="I895" s="14">
        <v>17.5</v>
      </c>
      <c r="J895" s="14"/>
      <c r="K895" s="14">
        <f>'Индекс с Дивидендами'!$J895/'Индекс с Дивидендами'!$C895</f>
        <v>0</v>
      </c>
    </row>
    <row r="896" hidden="1">
      <c r="A896" s="14">
        <v>2001.0</v>
      </c>
      <c r="B896" s="15" t="s">
        <v>45</v>
      </c>
      <c r="C896" s="14">
        <f>508.403/100</f>
        <v>5.08403</v>
      </c>
      <c r="D896" s="14">
        <v>0.0</v>
      </c>
      <c r="E896" s="18">
        <v>0.0</v>
      </c>
      <c r="F896" s="14">
        <v>0.0</v>
      </c>
      <c r="G896" s="14">
        <v>0.0</v>
      </c>
      <c r="H896" s="18">
        <v>0.0</v>
      </c>
      <c r="I896" s="14">
        <v>25.8</v>
      </c>
      <c r="J896" s="14"/>
      <c r="K896" s="14">
        <f>'Индекс с Дивидендами'!$J896/'Индекс с Дивидендами'!$C896</f>
        <v>0</v>
      </c>
    </row>
    <row r="897" hidden="1">
      <c r="A897" s="14">
        <v>2001.0</v>
      </c>
      <c r="B897" s="15" t="s">
        <v>208</v>
      </c>
      <c r="C897" s="14">
        <v>66.512</v>
      </c>
      <c r="D897" s="14">
        <v>0.0</v>
      </c>
      <c r="E897" s="18">
        <v>0.0</v>
      </c>
      <c r="F897" s="14">
        <v>0.0</v>
      </c>
      <c r="G897" s="14">
        <v>0.0</v>
      </c>
      <c r="H897" s="18">
        <v>0.0</v>
      </c>
      <c r="I897" s="14">
        <v>3.3</v>
      </c>
      <c r="J897" s="14"/>
      <c r="K897" s="14">
        <f>'Индекс с Дивидендами'!$J897/'Индекс с Дивидендами'!$C897</f>
        <v>0</v>
      </c>
    </row>
    <row r="898" hidden="1">
      <c r="A898" s="14">
        <v>2001.0</v>
      </c>
      <c r="B898" s="15" t="s">
        <v>209</v>
      </c>
      <c r="C898" s="14">
        <v>2.427</v>
      </c>
      <c r="D898" s="14">
        <v>0.0</v>
      </c>
      <c r="E898" s="18">
        <v>0.0</v>
      </c>
      <c r="F898" s="14">
        <v>0.0</v>
      </c>
      <c r="G898" s="14">
        <v>0.0</v>
      </c>
      <c r="H898" s="18">
        <v>0.0</v>
      </c>
      <c r="I898" s="14">
        <v>1.4</v>
      </c>
      <c r="J898" s="14"/>
      <c r="K898" s="14">
        <f>'Индекс с Дивидендами'!$J898/'Индекс с Дивидендами'!$C898</f>
        <v>0</v>
      </c>
    </row>
    <row r="899">
      <c r="A899" s="14">
        <v>2001.0</v>
      </c>
      <c r="B899" s="15" t="s">
        <v>93</v>
      </c>
      <c r="C899" s="14">
        <f>2194.678/1000</f>
        <v>2.194678</v>
      </c>
      <c r="D899" s="14">
        <v>0.0</v>
      </c>
      <c r="E899" s="18">
        <v>0.0</v>
      </c>
      <c r="F899" s="14">
        <v>0.0</v>
      </c>
      <c r="G899" s="14">
        <v>0.0</v>
      </c>
      <c r="H899" s="18">
        <v>0.0</v>
      </c>
      <c r="I899" s="14">
        <v>2.4</v>
      </c>
      <c r="J899" s="14">
        <v>0.0378</v>
      </c>
      <c r="K899" s="20">
        <f>'Индекс с Дивидендами'!$J899/'Индекс с Дивидендами'!$C899</f>
        <v>0.01722348335</v>
      </c>
    </row>
    <row r="900">
      <c r="A900" s="14">
        <v>2001.0</v>
      </c>
      <c r="B900" s="15" t="s">
        <v>126</v>
      </c>
      <c r="C900" s="14">
        <v>1.249</v>
      </c>
      <c r="D900" s="14">
        <v>0.0</v>
      </c>
      <c r="E900" s="18">
        <v>0.0</v>
      </c>
      <c r="F900" s="14">
        <v>0.0</v>
      </c>
      <c r="G900" s="14">
        <v>0.0</v>
      </c>
      <c r="H900" s="18">
        <v>0.0</v>
      </c>
      <c r="I900" s="14">
        <v>3.3</v>
      </c>
      <c r="J900" s="14">
        <v>0.007667</v>
      </c>
      <c r="K900" s="20">
        <f>'Индекс с Дивидендами'!$J900/'Индекс с Дивидендами'!$C900</f>
        <v>0.006138510809</v>
      </c>
    </row>
    <row r="901">
      <c r="A901" s="14">
        <v>2001.0</v>
      </c>
      <c r="B901" s="15" t="s">
        <v>90</v>
      </c>
      <c r="C901" s="14">
        <v>27.785</v>
      </c>
      <c r="D901" s="14">
        <v>0.0</v>
      </c>
      <c r="E901" s="18">
        <v>0.0</v>
      </c>
      <c r="F901" s="14">
        <v>0.0</v>
      </c>
      <c r="G901" s="14">
        <v>0.0</v>
      </c>
      <c r="H901" s="18">
        <v>0.0</v>
      </c>
      <c r="I901" s="14">
        <v>2.1</v>
      </c>
      <c r="J901" s="14">
        <v>0.1634</v>
      </c>
      <c r="K901" s="20">
        <f>'Индекс с Дивидендами'!$J901/'Индекс с Дивидендами'!$C901</f>
        <v>0.005880870974</v>
      </c>
    </row>
    <row r="902" hidden="1">
      <c r="A902" s="14">
        <v>2001.0</v>
      </c>
      <c r="B902" s="15" t="s">
        <v>210</v>
      </c>
      <c r="C902" s="14">
        <v>0.836</v>
      </c>
      <c r="D902" s="14">
        <v>0.0</v>
      </c>
      <c r="E902" s="18">
        <v>0.0</v>
      </c>
      <c r="F902" s="14">
        <v>0.0</v>
      </c>
      <c r="G902" s="14">
        <v>0.0</v>
      </c>
      <c r="H902" s="18">
        <v>0.0</v>
      </c>
      <c r="I902" s="14">
        <v>0.1</v>
      </c>
      <c r="J902" s="14"/>
      <c r="K902" s="14">
        <f>'Индекс с Дивидендами'!$J902/'Индекс с Дивидендами'!$C902</f>
        <v>0</v>
      </c>
    </row>
    <row r="903">
      <c r="A903" s="14">
        <v>2001.0</v>
      </c>
      <c r="B903" s="15" t="s">
        <v>39</v>
      </c>
      <c r="C903" s="14">
        <v>10.44</v>
      </c>
      <c r="D903" s="14">
        <v>0.0</v>
      </c>
      <c r="E903" s="18">
        <v>0.0</v>
      </c>
      <c r="F903" s="14">
        <v>0.0</v>
      </c>
      <c r="G903" s="14">
        <v>0.0</v>
      </c>
      <c r="H903" s="18">
        <v>0.0</v>
      </c>
      <c r="I903" s="14">
        <v>0.1</v>
      </c>
      <c r="J903" s="14">
        <v>0.03</v>
      </c>
      <c r="K903" s="20">
        <f>'Индекс с Дивидендами'!$J903/'Индекс с Дивидендами'!$C903</f>
        <v>0.002873563218</v>
      </c>
    </row>
    <row r="904" hidden="1">
      <c r="A904" s="14">
        <v>2001.0</v>
      </c>
      <c r="B904" s="15" t="s">
        <v>143</v>
      </c>
      <c r="C904" s="14">
        <v>21.974</v>
      </c>
      <c r="D904" s="14">
        <v>0.0</v>
      </c>
      <c r="E904" s="18">
        <v>0.0</v>
      </c>
      <c r="F904" s="14">
        <v>0.0</v>
      </c>
      <c r="G904" s="14">
        <v>0.0</v>
      </c>
      <c r="H904" s="18">
        <v>0.0</v>
      </c>
      <c r="I904" s="14">
        <v>2.0</v>
      </c>
      <c r="J904" s="14"/>
      <c r="K904" s="14">
        <f>'Индекс с Дивидендами'!$J904/'Индекс с Дивидендами'!$C904</f>
        <v>0</v>
      </c>
    </row>
    <row r="905" hidden="1">
      <c r="A905" s="14">
        <v>2001.0</v>
      </c>
      <c r="B905" s="15" t="s">
        <v>206</v>
      </c>
      <c r="C905" s="14">
        <v>155.888</v>
      </c>
      <c r="D905" s="14">
        <v>0.0</v>
      </c>
      <c r="E905" s="18">
        <v>0.0</v>
      </c>
      <c r="F905" s="14">
        <v>0.0</v>
      </c>
      <c r="G905" s="14">
        <v>0.0</v>
      </c>
      <c r="H905" s="18">
        <v>0.0</v>
      </c>
      <c r="I905" s="14">
        <v>5.2</v>
      </c>
      <c r="J905" s="14"/>
      <c r="K905" s="14">
        <f>'Индекс с Дивидендами'!$J905/'Индекс с Дивидендами'!$C905</f>
        <v>0</v>
      </c>
    </row>
    <row r="906">
      <c r="D906" s="21"/>
      <c r="E906" s="22"/>
      <c r="H906" s="22"/>
      <c r="K906" s="23"/>
    </row>
    <row r="907">
      <c r="D907" s="21"/>
      <c r="E907" s="22"/>
      <c r="H907" s="22"/>
      <c r="K907" s="23"/>
    </row>
    <row r="908">
      <c r="D908" s="21"/>
      <c r="E908" s="22"/>
      <c r="H908" s="22"/>
      <c r="K908" s="23"/>
    </row>
    <row r="909">
      <c r="D909" s="21"/>
      <c r="E909" s="22"/>
      <c r="H909" s="22"/>
      <c r="K909" s="23"/>
    </row>
    <row r="910">
      <c r="D910" s="21"/>
      <c r="E910" s="22"/>
      <c r="H910" s="22"/>
      <c r="K910" s="23"/>
    </row>
    <row r="911">
      <c r="D911" s="21"/>
      <c r="E911" s="22"/>
      <c r="H911" s="22"/>
      <c r="K911" s="23"/>
    </row>
    <row r="912">
      <c r="D912" s="21"/>
      <c r="E912" s="22"/>
      <c r="H912" s="22"/>
      <c r="K912" s="23"/>
    </row>
    <row r="913">
      <c r="D913" s="21"/>
      <c r="E913" s="22"/>
      <c r="H913" s="22"/>
      <c r="K913" s="23"/>
    </row>
    <row r="914">
      <c r="D914" s="21"/>
      <c r="E914" s="22"/>
      <c r="H914" s="22"/>
      <c r="K914" s="23"/>
    </row>
    <row r="915">
      <c r="D915" s="21"/>
      <c r="E915" s="22"/>
      <c r="H915" s="22"/>
      <c r="K915" s="23"/>
    </row>
    <row r="916">
      <c r="D916" s="21"/>
      <c r="E916" s="22"/>
      <c r="H916" s="22"/>
      <c r="K916" s="23"/>
    </row>
    <row r="917">
      <c r="D917" s="21"/>
      <c r="E917" s="22"/>
      <c r="H917" s="22"/>
      <c r="K917" s="23"/>
    </row>
    <row r="918">
      <c r="D918" s="21"/>
      <c r="E918" s="22"/>
      <c r="H918" s="22"/>
      <c r="K918" s="23"/>
    </row>
    <row r="919">
      <c r="D919" s="21"/>
      <c r="E919" s="22"/>
      <c r="H919" s="22"/>
      <c r="K919" s="23"/>
    </row>
    <row r="920">
      <c r="D920" s="21"/>
      <c r="E920" s="22"/>
      <c r="H920" s="22"/>
      <c r="K920" s="23"/>
    </row>
    <row r="921">
      <c r="D921" s="21"/>
      <c r="E921" s="22"/>
      <c r="H921" s="22"/>
      <c r="K921" s="23"/>
    </row>
    <row r="922">
      <c r="D922" s="21"/>
      <c r="E922" s="22"/>
      <c r="H922" s="22"/>
      <c r="K922" s="23"/>
    </row>
    <row r="923">
      <c r="D923" s="21"/>
      <c r="E923" s="22"/>
      <c r="H923" s="22"/>
      <c r="K923" s="23"/>
    </row>
    <row r="924">
      <c r="D924" s="21"/>
      <c r="E924" s="22"/>
      <c r="H924" s="22"/>
      <c r="K924" s="23"/>
    </row>
    <row r="925">
      <c r="D925" s="21"/>
      <c r="E925" s="22"/>
      <c r="H925" s="22"/>
      <c r="K925" s="23"/>
    </row>
    <row r="926">
      <c r="D926" s="21"/>
      <c r="E926" s="22"/>
      <c r="H926" s="22"/>
      <c r="K926" s="23"/>
    </row>
    <row r="927">
      <c r="D927" s="21"/>
      <c r="E927" s="22"/>
      <c r="H927" s="22"/>
      <c r="K927" s="23"/>
    </row>
    <row r="928">
      <c r="D928" s="21"/>
      <c r="E928" s="22"/>
      <c r="H928" s="22"/>
      <c r="K928" s="23"/>
    </row>
    <row r="929">
      <c r="D929" s="21"/>
      <c r="E929" s="22"/>
      <c r="H929" s="22"/>
      <c r="K929" s="23"/>
    </row>
    <row r="930">
      <c r="D930" s="21"/>
      <c r="E930" s="22"/>
      <c r="H930" s="22"/>
      <c r="K930" s="23"/>
    </row>
    <row r="931">
      <c r="D931" s="21"/>
      <c r="E931" s="22"/>
      <c r="H931" s="22"/>
      <c r="K931" s="23"/>
    </row>
    <row r="932">
      <c r="D932" s="21"/>
      <c r="E932" s="22"/>
      <c r="H932" s="22"/>
      <c r="K932" s="23"/>
    </row>
    <row r="933">
      <c r="D933" s="21"/>
      <c r="E933" s="22"/>
      <c r="H933" s="22"/>
      <c r="K933" s="23"/>
    </row>
    <row r="934">
      <c r="D934" s="21"/>
      <c r="E934" s="22"/>
      <c r="H934" s="22"/>
      <c r="K934" s="23"/>
    </row>
    <row r="935">
      <c r="D935" s="21"/>
      <c r="E935" s="22"/>
      <c r="H935" s="22"/>
      <c r="K935" s="23"/>
    </row>
    <row r="936">
      <c r="D936" s="21"/>
      <c r="E936" s="22"/>
      <c r="H936" s="22"/>
      <c r="K936" s="23"/>
    </row>
    <row r="937">
      <c r="D937" s="21"/>
      <c r="E937" s="22"/>
      <c r="H937" s="22"/>
      <c r="K937" s="23"/>
    </row>
    <row r="938">
      <c r="D938" s="21"/>
      <c r="E938" s="22"/>
      <c r="H938" s="22"/>
      <c r="K938" s="23"/>
    </row>
    <row r="939">
      <c r="D939" s="21"/>
      <c r="E939" s="22"/>
      <c r="H939" s="22"/>
      <c r="K939" s="23"/>
    </row>
    <row r="940">
      <c r="D940" s="21"/>
      <c r="E940" s="22"/>
      <c r="H940" s="22"/>
      <c r="K940" s="23"/>
    </row>
    <row r="941">
      <c r="D941" s="21"/>
      <c r="E941" s="22"/>
      <c r="H941" s="22"/>
      <c r="K941" s="23"/>
    </row>
    <row r="942">
      <c r="D942" s="21"/>
      <c r="E942" s="22"/>
      <c r="H942" s="22"/>
      <c r="K942" s="23"/>
    </row>
    <row r="943">
      <c r="D943" s="21"/>
      <c r="E943" s="22"/>
      <c r="H943" s="22"/>
      <c r="K943" s="23"/>
    </row>
    <row r="944">
      <c r="D944" s="21"/>
      <c r="E944" s="22"/>
      <c r="H944" s="22"/>
      <c r="K944" s="23"/>
    </row>
    <row r="945">
      <c r="D945" s="21"/>
      <c r="E945" s="22"/>
      <c r="H945" s="22"/>
      <c r="K945" s="23"/>
    </row>
    <row r="946">
      <c r="D946" s="21"/>
      <c r="E946" s="22"/>
      <c r="H946" s="22"/>
      <c r="K946" s="23"/>
    </row>
    <row r="947">
      <c r="D947" s="21"/>
      <c r="E947" s="22"/>
      <c r="H947" s="22"/>
      <c r="K947" s="23"/>
    </row>
    <row r="948">
      <c r="D948" s="21"/>
      <c r="E948" s="22"/>
      <c r="H948" s="22"/>
      <c r="K948" s="23"/>
    </row>
    <row r="949">
      <c r="D949" s="21"/>
      <c r="E949" s="22"/>
      <c r="H949" s="22"/>
      <c r="K949" s="23"/>
    </row>
    <row r="950">
      <c r="D950" s="21"/>
      <c r="E950" s="22"/>
      <c r="H950" s="22"/>
      <c r="K950" s="23"/>
    </row>
    <row r="951">
      <c r="D951" s="21"/>
      <c r="E951" s="22"/>
      <c r="H951" s="22"/>
      <c r="K951" s="23"/>
    </row>
    <row r="952">
      <c r="D952" s="21"/>
      <c r="E952" s="22"/>
      <c r="H952" s="22"/>
      <c r="K952" s="23"/>
    </row>
    <row r="953">
      <c r="D953" s="21"/>
      <c r="E953" s="22"/>
      <c r="H953" s="22"/>
      <c r="K953" s="23"/>
    </row>
    <row r="954">
      <c r="D954" s="21"/>
      <c r="E954" s="22"/>
      <c r="H954" s="22"/>
      <c r="K954" s="23"/>
    </row>
    <row r="955">
      <c r="D955" s="21"/>
      <c r="E955" s="22"/>
      <c r="H955" s="22"/>
      <c r="K955" s="23"/>
    </row>
    <row r="956">
      <c r="D956" s="21"/>
      <c r="E956" s="22"/>
      <c r="H956" s="22"/>
      <c r="K956" s="23"/>
    </row>
    <row r="957">
      <c r="D957" s="21"/>
      <c r="E957" s="22"/>
      <c r="H957" s="22"/>
      <c r="K957" s="23"/>
    </row>
    <row r="958">
      <c r="D958" s="21"/>
      <c r="E958" s="22"/>
      <c r="H958" s="22"/>
      <c r="K958" s="23"/>
    </row>
    <row r="959">
      <c r="D959" s="21"/>
      <c r="E959" s="22"/>
      <c r="H959" s="22"/>
      <c r="K959" s="23"/>
    </row>
    <row r="960">
      <c r="D960" s="21"/>
      <c r="E960" s="22"/>
      <c r="H960" s="22"/>
      <c r="K960" s="23"/>
    </row>
    <row r="961">
      <c r="D961" s="21"/>
      <c r="E961" s="22"/>
      <c r="H961" s="22"/>
      <c r="K961" s="23"/>
    </row>
    <row r="962">
      <c r="D962" s="21"/>
      <c r="E962" s="22"/>
      <c r="H962" s="22"/>
      <c r="K962" s="23"/>
    </row>
    <row r="963">
      <c r="D963" s="21"/>
      <c r="E963" s="22"/>
      <c r="H963" s="22"/>
      <c r="K963" s="23"/>
    </row>
    <row r="964">
      <c r="D964" s="21"/>
      <c r="E964" s="22"/>
      <c r="H964" s="22"/>
      <c r="K964" s="23"/>
    </row>
    <row r="965">
      <c r="D965" s="21"/>
      <c r="E965" s="22"/>
      <c r="H965" s="22"/>
      <c r="K965" s="23"/>
    </row>
    <row r="966">
      <c r="D966" s="21"/>
      <c r="E966" s="22"/>
      <c r="H966" s="22"/>
      <c r="K966" s="23"/>
    </row>
    <row r="967">
      <c r="D967" s="21"/>
      <c r="E967" s="22"/>
      <c r="H967" s="22"/>
      <c r="K967" s="23"/>
    </row>
    <row r="968">
      <c r="D968" s="21"/>
      <c r="E968" s="22"/>
      <c r="H968" s="22"/>
      <c r="K968" s="23"/>
    </row>
    <row r="969">
      <c r="D969" s="21"/>
      <c r="E969" s="22"/>
      <c r="H969" s="22"/>
      <c r="K969" s="23"/>
    </row>
    <row r="970">
      <c r="D970" s="21"/>
      <c r="E970" s="22"/>
      <c r="H970" s="22"/>
      <c r="K970" s="23"/>
    </row>
    <row r="971">
      <c r="D971" s="21"/>
      <c r="E971" s="22"/>
      <c r="H971" s="22"/>
      <c r="K971" s="23"/>
    </row>
    <row r="972">
      <c r="D972" s="21"/>
      <c r="E972" s="22"/>
      <c r="H972" s="22"/>
      <c r="K972" s="23"/>
    </row>
    <row r="973">
      <c r="D973" s="21"/>
      <c r="E973" s="22"/>
      <c r="H973" s="22"/>
      <c r="K973" s="23"/>
    </row>
    <row r="974">
      <c r="D974" s="21"/>
      <c r="E974" s="22"/>
      <c r="H974" s="22"/>
      <c r="K974" s="23"/>
    </row>
    <row r="975">
      <c r="D975" s="21"/>
      <c r="E975" s="22"/>
      <c r="H975" s="22"/>
      <c r="K975" s="23"/>
    </row>
    <row r="976">
      <c r="D976" s="21"/>
      <c r="E976" s="22"/>
      <c r="H976" s="22"/>
      <c r="K976" s="23"/>
    </row>
    <row r="977">
      <c r="D977" s="21"/>
      <c r="E977" s="22"/>
      <c r="H977" s="22"/>
      <c r="K977" s="23"/>
    </row>
    <row r="978">
      <c r="D978" s="21"/>
      <c r="E978" s="22"/>
      <c r="H978" s="22"/>
      <c r="K978" s="23"/>
    </row>
    <row r="979">
      <c r="D979" s="21"/>
      <c r="E979" s="22"/>
      <c r="H979" s="22"/>
      <c r="K979" s="23"/>
    </row>
    <row r="980">
      <c r="D980" s="21"/>
      <c r="E980" s="22"/>
      <c r="H980" s="22"/>
      <c r="K980" s="23"/>
    </row>
    <row r="981">
      <c r="D981" s="21"/>
      <c r="E981" s="22"/>
      <c r="H981" s="22"/>
      <c r="K981" s="23"/>
    </row>
    <row r="982">
      <c r="D982" s="21"/>
      <c r="E982" s="22"/>
      <c r="H982" s="22"/>
      <c r="K982" s="23"/>
    </row>
    <row r="983">
      <c r="D983" s="21"/>
      <c r="E983" s="22"/>
      <c r="H983" s="22"/>
      <c r="K983" s="23"/>
    </row>
    <row r="984">
      <c r="D984" s="21"/>
      <c r="E984" s="22"/>
      <c r="H984" s="22"/>
      <c r="K984" s="23"/>
    </row>
    <row r="985">
      <c r="D985" s="21"/>
      <c r="E985" s="22"/>
      <c r="H985" s="22"/>
      <c r="K985" s="23"/>
    </row>
    <row r="986">
      <c r="D986" s="21"/>
      <c r="E986" s="22"/>
      <c r="H986" s="22"/>
      <c r="K986" s="23"/>
    </row>
    <row r="987">
      <c r="D987" s="21"/>
      <c r="E987" s="22"/>
      <c r="H987" s="22"/>
      <c r="K987" s="23"/>
    </row>
    <row r="988">
      <c r="D988" s="21"/>
      <c r="E988" s="22"/>
      <c r="H988" s="22"/>
      <c r="K988" s="23"/>
    </row>
    <row r="989">
      <c r="D989" s="21"/>
      <c r="E989" s="22"/>
      <c r="H989" s="22"/>
      <c r="K989" s="23"/>
    </row>
    <row r="990">
      <c r="D990" s="21"/>
      <c r="E990" s="22"/>
      <c r="H990" s="22"/>
      <c r="K990" s="23"/>
    </row>
    <row r="991">
      <c r="D991" s="21"/>
      <c r="E991" s="22"/>
      <c r="H991" s="22"/>
      <c r="K991" s="23"/>
    </row>
    <row r="992">
      <c r="D992" s="21"/>
      <c r="E992" s="22"/>
      <c r="H992" s="22"/>
      <c r="K992" s="23"/>
    </row>
    <row r="993">
      <c r="D993" s="21"/>
      <c r="E993" s="22"/>
      <c r="H993" s="22"/>
      <c r="K993" s="23"/>
    </row>
    <row r="994">
      <c r="D994" s="21"/>
      <c r="E994" s="22"/>
      <c r="H994" s="22"/>
      <c r="K994" s="23"/>
    </row>
    <row r="995">
      <c r="D995" s="21"/>
      <c r="E995" s="22"/>
      <c r="H995" s="22"/>
      <c r="K995" s="23"/>
    </row>
    <row r="996">
      <c r="D996" s="21"/>
      <c r="E996" s="22"/>
      <c r="H996" s="22"/>
      <c r="K996" s="23"/>
    </row>
    <row r="997">
      <c r="D997" s="21"/>
      <c r="E997" s="22"/>
      <c r="H997" s="22"/>
      <c r="K997" s="23"/>
    </row>
    <row r="998">
      <c r="D998" s="21"/>
      <c r="E998" s="22"/>
      <c r="H998" s="22"/>
      <c r="K998" s="23"/>
    </row>
    <row r="999">
      <c r="D999" s="21"/>
      <c r="E999" s="22"/>
      <c r="H999" s="22"/>
      <c r="K999" s="23"/>
    </row>
    <row r="1000">
      <c r="D1000" s="21"/>
      <c r="E1000" s="22"/>
      <c r="H1000" s="22"/>
      <c r="K1000" s="23"/>
    </row>
  </sheetData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25"/>
    <col customWidth="1" min="3" max="3" width="12.0"/>
    <col customWidth="1" min="4" max="4" width="17.5"/>
    <col customWidth="1" min="5" max="5" width="20.25"/>
    <col customWidth="1" min="6" max="6" width="7.75"/>
    <col customWidth="1" min="7" max="7" width="10.5"/>
    <col customWidth="1" min="8" max="8" width="20.25"/>
    <col customWidth="1" min="9" max="9" width="7.38"/>
    <col customWidth="1" min="10" max="26" width="20.25"/>
  </cols>
  <sheetData>
    <row r="1">
      <c r="A1" s="13" t="s">
        <v>138</v>
      </c>
      <c r="B1" s="13" t="s">
        <v>170</v>
      </c>
      <c r="C1" s="13" t="s">
        <v>171</v>
      </c>
      <c r="D1" s="13" t="s">
        <v>172</v>
      </c>
      <c r="E1" s="13" t="s">
        <v>173</v>
      </c>
      <c r="F1" s="13" t="s">
        <v>174</v>
      </c>
      <c r="G1" s="13" t="s">
        <v>175</v>
      </c>
      <c r="H1" s="13" t="s">
        <v>176</v>
      </c>
      <c r="I1" s="13" t="s">
        <v>177</v>
      </c>
    </row>
    <row r="2">
      <c r="A2" s="14">
        <v>2025.0</v>
      </c>
      <c r="B2" s="14" t="s">
        <v>37</v>
      </c>
      <c r="C2" s="24">
        <v>13.34</v>
      </c>
      <c r="D2" s="19">
        <v>1.9107E9</v>
      </c>
      <c r="E2" s="18">
        <v>1.28731E11</v>
      </c>
      <c r="F2" s="14">
        <v>0.33</v>
      </c>
      <c r="G2" s="14">
        <v>0.6</v>
      </c>
      <c r="H2" s="18">
        <v>2.5488738E10</v>
      </c>
      <c r="I2" s="25">
        <v>0.35</v>
      </c>
    </row>
    <row r="3">
      <c r="A3" s="14">
        <v>2025.0</v>
      </c>
      <c r="B3" s="14" t="s">
        <v>39</v>
      </c>
      <c r="C3" s="24">
        <v>57.7</v>
      </c>
      <c r="D3" s="19">
        <v>7.95154243E8</v>
      </c>
      <c r="E3" s="18">
        <v>2.294019991055E11</v>
      </c>
      <c r="F3" s="14">
        <v>0.25</v>
      </c>
      <c r="G3" s="14">
        <v>0.8</v>
      </c>
      <c r="H3" s="18">
        <v>4.58803998211E10</v>
      </c>
      <c r="I3" s="25">
        <v>0.63</v>
      </c>
    </row>
    <row r="4">
      <c r="A4" s="14">
        <v>2025.0</v>
      </c>
      <c r="B4" s="14" t="s">
        <v>7</v>
      </c>
      <c r="C4" s="24">
        <v>41.42</v>
      </c>
      <c r="D4" s="19">
        <v>0.0</v>
      </c>
      <c r="E4" s="18">
        <v>3.050568763946E11</v>
      </c>
      <c r="F4" s="14">
        <v>0.34</v>
      </c>
      <c r="G4" s="14">
        <v>0.4</v>
      </c>
      <c r="H4" s="18">
        <v>4.148773518967E10</v>
      </c>
      <c r="I4" s="25">
        <v>0.57</v>
      </c>
    </row>
    <row r="5">
      <c r="A5" s="14">
        <v>2025.0</v>
      </c>
      <c r="B5" s="14" t="s">
        <v>33</v>
      </c>
      <c r="C5" s="24">
        <v>309.0</v>
      </c>
      <c r="D5" s="19">
        <v>0.0</v>
      </c>
      <c r="E5" s="18">
        <v>1.37618872989E11</v>
      </c>
      <c r="F5" s="14">
        <v>0.28</v>
      </c>
      <c r="G5" s="14">
        <v>0.6</v>
      </c>
      <c r="H5" s="18">
        <v>2.311997066215E10</v>
      </c>
      <c r="I5" s="25">
        <v>0.32</v>
      </c>
    </row>
    <row r="6">
      <c r="A6" s="14">
        <v>2025.0</v>
      </c>
      <c r="B6" s="14" t="s">
        <v>4</v>
      </c>
      <c r="C6" s="24">
        <v>6.09</v>
      </c>
      <c r="D6" s="19">
        <v>0.0</v>
      </c>
      <c r="E6" s="18">
        <v>2.0358693308394E11</v>
      </c>
      <c r="F6" s="14">
        <v>0.22</v>
      </c>
      <c r="G6" s="14">
        <v>0.7</v>
      </c>
      <c r="H6" s="18">
        <v>3.135238769493E10</v>
      </c>
      <c r="I6" s="25">
        <v>0.43</v>
      </c>
    </row>
    <row r="7">
      <c r="A7" s="14">
        <v>2025.0</v>
      </c>
      <c r="B7" s="14" t="s">
        <v>96</v>
      </c>
      <c r="C7" s="24">
        <v>966.6</v>
      </c>
      <c r="D7" s="19">
        <v>0.0</v>
      </c>
      <c r="E7" s="18">
        <v>8.09738856756E11</v>
      </c>
      <c r="F7" s="14">
        <v>0.23</v>
      </c>
      <c r="G7" s="14">
        <v>0.4</v>
      </c>
      <c r="H7" s="18">
        <v>7.449597482155E10</v>
      </c>
      <c r="I7" s="25">
        <v>1.03</v>
      </c>
    </row>
    <row r="8">
      <c r="A8" s="14">
        <v>2025.0</v>
      </c>
      <c r="B8" s="14" t="s">
        <v>27</v>
      </c>
      <c r="C8" s="24">
        <v>606.8</v>
      </c>
      <c r="D8" s="19">
        <v>0.0</v>
      </c>
      <c r="E8" s="18">
        <v>4.7130453332E10</v>
      </c>
      <c r="F8" s="14">
        <v>0.37</v>
      </c>
      <c r="G8" s="14">
        <v>1.0</v>
      </c>
      <c r="H8" s="18">
        <v>1.743826773284E10</v>
      </c>
      <c r="I8" s="25">
        <v>0.24</v>
      </c>
    </row>
    <row r="9">
      <c r="A9" s="14">
        <v>2025.0</v>
      </c>
      <c r="B9" s="14" t="s">
        <v>55</v>
      </c>
      <c r="C9" s="24">
        <v>1858.2</v>
      </c>
      <c r="D9" s="19">
        <v>0.0</v>
      </c>
      <c r="E9" s="18">
        <v>3.342692157876E11</v>
      </c>
      <c r="F9" s="14">
        <v>0.1</v>
      </c>
      <c r="G9" s="14">
        <v>1.0</v>
      </c>
      <c r="H9" s="18">
        <v>3.342692157876E10</v>
      </c>
      <c r="I9" s="25">
        <v>0.46</v>
      </c>
    </row>
    <row r="10">
      <c r="A10" s="14">
        <v>2025.0</v>
      </c>
      <c r="B10" s="14" t="s">
        <v>29</v>
      </c>
      <c r="C10" s="24">
        <v>454.2</v>
      </c>
      <c r="D10" s="19">
        <v>0.0</v>
      </c>
      <c r="E10" s="18">
        <v>2.901651685632E11</v>
      </c>
      <c r="F10" s="14">
        <v>0.14</v>
      </c>
      <c r="G10" s="14">
        <v>0.6</v>
      </c>
      <c r="H10" s="18">
        <v>2.437387415931E10</v>
      </c>
      <c r="I10" s="25">
        <v>0.34</v>
      </c>
    </row>
    <row r="11">
      <c r="A11" s="14">
        <v>2025.0</v>
      </c>
      <c r="B11" s="14" t="s">
        <v>134</v>
      </c>
      <c r="C11" s="24">
        <v>75.88</v>
      </c>
      <c r="D11" s="19">
        <v>0.0</v>
      </c>
      <c r="E11" s="18">
        <v>1.8021453720788E11</v>
      </c>
      <c r="F11" s="14">
        <v>0.16</v>
      </c>
      <c r="G11" s="14">
        <v>0.7</v>
      </c>
      <c r="H11" s="18">
        <v>2.018402816728E10</v>
      </c>
      <c r="I11" s="25">
        <v>0.28</v>
      </c>
    </row>
    <row r="12">
      <c r="A12" s="14">
        <v>2025.0</v>
      </c>
      <c r="B12" s="14" t="s">
        <v>43</v>
      </c>
      <c r="C12" s="24">
        <v>125.57</v>
      </c>
      <c r="D12" s="19">
        <v>0.0</v>
      </c>
      <c r="E12" s="18">
        <v>2.972683014853E12</v>
      </c>
      <c r="F12" s="14">
        <v>0.47</v>
      </c>
      <c r="G12" s="14">
        <v>0.5</v>
      </c>
      <c r="H12" s="18">
        <v>6.9858050849046E11</v>
      </c>
      <c r="I12" s="25">
        <v>9.65</v>
      </c>
    </row>
    <row r="13">
      <c r="A13" s="14">
        <v>2025.0</v>
      </c>
      <c r="B13" s="14" t="s">
        <v>45</v>
      </c>
      <c r="C13" s="24">
        <v>149.02</v>
      </c>
      <c r="D13" s="19">
        <v>0.0</v>
      </c>
      <c r="E13" s="18">
        <v>2.277970342094E12</v>
      </c>
      <c r="F13" s="14">
        <v>0.33</v>
      </c>
      <c r="G13" s="14">
        <v>0.4</v>
      </c>
      <c r="H13" s="18">
        <v>3.0069208515641E11</v>
      </c>
      <c r="I13" s="25">
        <v>4.15</v>
      </c>
    </row>
    <row r="14">
      <c r="A14" s="14">
        <v>2025.0</v>
      </c>
      <c r="B14" s="14" t="s">
        <v>25</v>
      </c>
      <c r="C14" s="24">
        <v>2907.0</v>
      </c>
      <c r="D14" s="19">
        <v>0.0</v>
      </c>
      <c r="E14" s="18">
        <v>1.37166556626E11</v>
      </c>
      <c r="F14" s="14">
        <v>0.42</v>
      </c>
      <c r="G14" s="14">
        <v>1.0</v>
      </c>
      <c r="H14" s="18">
        <v>5.760995378292E10</v>
      </c>
      <c r="I14" s="25">
        <v>0.8</v>
      </c>
    </row>
    <row r="15">
      <c r="A15" s="14">
        <v>2025.0</v>
      </c>
      <c r="B15" s="14" t="s">
        <v>59</v>
      </c>
      <c r="C15" s="24">
        <v>3.1125</v>
      </c>
      <c r="D15" s="19">
        <v>2.33856E10</v>
      </c>
      <c r="E15" s="18">
        <v>3.24945E11</v>
      </c>
      <c r="F15" s="14">
        <v>0.32</v>
      </c>
      <c r="G15" s="14">
        <v>0.7</v>
      </c>
      <c r="H15" s="18">
        <v>7.278768E10</v>
      </c>
      <c r="I15" s="25">
        <v>1.0</v>
      </c>
    </row>
    <row r="16">
      <c r="A16" s="14">
        <v>2025.0</v>
      </c>
      <c r="B16" s="14" t="s">
        <v>78</v>
      </c>
      <c r="C16" s="24">
        <v>5880.5</v>
      </c>
      <c r="D16" s="19">
        <v>0.0</v>
      </c>
      <c r="E16" s="18">
        <v>4.074397113441E12</v>
      </c>
      <c r="F16" s="14">
        <v>0.55</v>
      </c>
      <c r="G16" s="14">
        <v>0.49729</v>
      </c>
      <c r="H16" s="18">
        <v>1.11438631729846E12</v>
      </c>
      <c r="I16" s="25">
        <v>15.39</v>
      </c>
    </row>
    <row r="17">
      <c r="A17" s="14">
        <v>2025.0</v>
      </c>
      <c r="B17" s="14" t="s">
        <v>69</v>
      </c>
      <c r="C17" s="24">
        <v>28.63</v>
      </c>
      <c r="D17" s="19">
        <v>1.3409196E9</v>
      </c>
      <c r="E17" s="18">
        <v>3.199210679E11</v>
      </c>
      <c r="F17" s="14">
        <v>0.2</v>
      </c>
      <c r="G17" s="14">
        <v>0.6</v>
      </c>
      <c r="H17" s="18">
        <v>3.8390528148E10</v>
      </c>
      <c r="I17" s="25">
        <v>0.53</v>
      </c>
    </row>
    <row r="18">
      <c r="A18" s="14">
        <v>2025.0</v>
      </c>
      <c r="B18" s="14" t="s">
        <v>11</v>
      </c>
      <c r="C18" s="24">
        <v>1497.8</v>
      </c>
      <c r="D18" s="19">
        <v>0.0</v>
      </c>
      <c r="E18" s="18">
        <v>1.12522239978E11</v>
      </c>
      <c r="F18" s="14">
        <v>0.27</v>
      </c>
      <c r="G18" s="14">
        <v>0.9</v>
      </c>
      <c r="H18" s="18">
        <v>2.734290431465E10</v>
      </c>
      <c r="I18" s="25">
        <v>0.38</v>
      </c>
    </row>
    <row r="19">
      <c r="A19" s="14">
        <v>2025.0</v>
      </c>
      <c r="B19" s="14" t="s">
        <v>76</v>
      </c>
      <c r="C19" s="24">
        <v>173.88</v>
      </c>
      <c r="D19" s="19">
        <v>0.0</v>
      </c>
      <c r="E19" s="18">
        <v>3.9582068551704E11</v>
      </c>
      <c r="F19" s="14">
        <v>0.65</v>
      </c>
      <c r="G19" s="14">
        <v>0.3</v>
      </c>
      <c r="H19" s="18">
        <v>7.718503367582E10</v>
      </c>
      <c r="I19" s="25">
        <v>1.07</v>
      </c>
    </row>
    <row r="20">
      <c r="A20" s="14">
        <v>2025.0</v>
      </c>
      <c r="B20" s="14" t="s">
        <v>126</v>
      </c>
      <c r="C20" s="24">
        <v>2.0885</v>
      </c>
      <c r="D20" s="19">
        <v>7.154884746E9</v>
      </c>
      <c r="E20" s="18">
        <v>8.301653773345E10</v>
      </c>
      <c r="F20" s="14">
        <v>0.2</v>
      </c>
      <c r="G20" s="14">
        <v>0.9</v>
      </c>
      <c r="H20" s="18">
        <v>1.494297679202E10</v>
      </c>
      <c r="I20" s="25">
        <v>0.21</v>
      </c>
    </row>
    <row r="21">
      <c r="A21" s="14">
        <v>2025.0</v>
      </c>
      <c r="B21" s="14" t="s">
        <v>74</v>
      </c>
      <c r="C21" s="24">
        <v>213.65</v>
      </c>
      <c r="D21" s="19">
        <v>0.0</v>
      </c>
      <c r="E21" s="18">
        <v>4.2695422349875E11</v>
      </c>
      <c r="F21" s="14">
        <v>0.41</v>
      </c>
      <c r="G21" s="14">
        <v>0.4</v>
      </c>
      <c r="H21" s="18">
        <v>7.00204926538E10</v>
      </c>
      <c r="I21" s="25">
        <v>0.97</v>
      </c>
    </row>
    <row r="22">
      <c r="A22" s="14">
        <v>2025.0</v>
      </c>
      <c r="B22" s="14" t="s">
        <v>82</v>
      </c>
      <c r="C22" s="24">
        <v>106.6</v>
      </c>
      <c r="D22" s="19">
        <v>0.0</v>
      </c>
      <c r="E22" s="18">
        <v>6.38878023784E11</v>
      </c>
      <c r="F22" s="14">
        <v>0.21</v>
      </c>
      <c r="G22" s="14">
        <v>0.5</v>
      </c>
      <c r="H22" s="18">
        <v>6.708219249732E10</v>
      </c>
      <c r="I22" s="25">
        <v>0.93</v>
      </c>
    </row>
    <row r="23">
      <c r="A23" s="14">
        <v>2025.0</v>
      </c>
      <c r="B23" s="14" t="s">
        <v>130</v>
      </c>
      <c r="C23" s="24">
        <v>1188.0</v>
      </c>
      <c r="D23" s="19">
        <v>2.55049704E8</v>
      </c>
      <c r="E23" s="18">
        <v>3.607131528E12</v>
      </c>
      <c r="F23" s="14">
        <v>0.21</v>
      </c>
      <c r="G23" s="14">
        <v>0.4</v>
      </c>
      <c r="H23" s="18">
        <v>3.02999048352E11</v>
      </c>
      <c r="I23" s="25">
        <v>4.18</v>
      </c>
    </row>
    <row r="24">
      <c r="A24" s="14">
        <v>2025.0</v>
      </c>
      <c r="B24" s="14" t="s">
        <v>17</v>
      </c>
      <c r="C24" s="24">
        <v>4495.0</v>
      </c>
      <c r="D24" s="19">
        <v>0.0</v>
      </c>
      <c r="E24" s="18">
        <v>9.72779729835E11</v>
      </c>
      <c r="F24" s="14">
        <v>0.33</v>
      </c>
      <c r="G24" s="14">
        <v>0.6</v>
      </c>
      <c r="H24" s="18">
        <v>1.9261038650733E11</v>
      </c>
      <c r="I24" s="25">
        <v>2.66</v>
      </c>
    </row>
    <row r="25">
      <c r="A25" s="14">
        <v>2025.0</v>
      </c>
      <c r="B25" s="14" t="s">
        <v>112</v>
      </c>
      <c r="C25" s="24">
        <v>6371.0</v>
      </c>
      <c r="D25" s="19">
        <v>6734000.0</v>
      </c>
      <c r="E25" s="18">
        <v>8.250445E11</v>
      </c>
      <c r="F25" s="14">
        <v>0.26</v>
      </c>
      <c r="G25" s="14">
        <v>0.2</v>
      </c>
      <c r="H25" s="18">
        <v>4.2902314E10</v>
      </c>
      <c r="I25" s="25">
        <v>0.59</v>
      </c>
    </row>
    <row r="26">
      <c r="A26" s="14">
        <v>2025.0</v>
      </c>
      <c r="B26" s="14" t="s">
        <v>86</v>
      </c>
      <c r="C26" s="24">
        <v>490.0</v>
      </c>
      <c r="D26" s="19">
        <v>0.0</v>
      </c>
      <c r="E26" s="18">
        <v>3.2364369856E11</v>
      </c>
      <c r="F26" s="14">
        <v>0.21</v>
      </c>
      <c r="G26" s="14">
        <v>1.0</v>
      </c>
      <c r="H26" s="18">
        <v>6.79651766976E10</v>
      </c>
      <c r="I26" s="25">
        <v>0.94</v>
      </c>
    </row>
    <row r="27">
      <c r="A27" s="14">
        <v>2025.0</v>
      </c>
      <c r="B27" s="14" t="s">
        <v>88</v>
      </c>
      <c r="C27" s="24">
        <v>2401.6</v>
      </c>
      <c r="D27" s="19">
        <v>0.0</v>
      </c>
      <c r="E27" s="18">
        <v>3.2678427128016E12</v>
      </c>
      <c r="F27" s="14">
        <v>0.22</v>
      </c>
      <c r="G27" s="14">
        <v>0.4</v>
      </c>
      <c r="H27" s="18">
        <v>2.8757015872654E11</v>
      </c>
      <c r="I27" s="25">
        <v>3.97</v>
      </c>
    </row>
    <row r="28">
      <c r="A28" s="14">
        <v>2025.0</v>
      </c>
      <c r="B28" s="14" t="s">
        <v>51</v>
      </c>
      <c r="C28" s="24">
        <v>997.0</v>
      </c>
      <c r="D28" s="19">
        <v>1.709136E7</v>
      </c>
      <c r="E28" s="18">
        <v>7.1000358E10</v>
      </c>
      <c r="F28" s="14">
        <v>0.24</v>
      </c>
      <c r="G28" s="14">
        <v>1.0</v>
      </c>
      <c r="H28" s="18">
        <v>1.704008592E10</v>
      </c>
      <c r="I28" s="25">
        <v>0.24</v>
      </c>
    </row>
    <row r="29">
      <c r="A29" s="14">
        <v>2025.0</v>
      </c>
      <c r="B29" s="14" t="s">
        <v>53</v>
      </c>
      <c r="C29" s="24">
        <v>95.9</v>
      </c>
      <c r="D29" s="19">
        <v>0.0</v>
      </c>
      <c r="E29" s="18">
        <v>5.3411771602E10</v>
      </c>
      <c r="F29" s="14">
        <v>0.3</v>
      </c>
      <c r="G29" s="14">
        <v>0.9</v>
      </c>
      <c r="H29" s="18">
        <v>1.442117833254E10</v>
      </c>
      <c r="I29" s="25">
        <v>0.2</v>
      </c>
    </row>
    <row r="30">
      <c r="A30" s="14">
        <v>2025.0</v>
      </c>
      <c r="B30" s="14" t="s">
        <v>132</v>
      </c>
      <c r="C30" s="24">
        <v>408.65</v>
      </c>
      <c r="D30" s="19">
        <v>0.0</v>
      </c>
      <c r="E30" s="18">
        <v>4.33094536491705E12</v>
      </c>
      <c r="F30" s="14">
        <v>0.11</v>
      </c>
      <c r="G30" s="14">
        <v>0.4</v>
      </c>
      <c r="H30" s="18">
        <v>1.9056159605635E11</v>
      </c>
      <c r="I30" s="25">
        <v>2.63</v>
      </c>
    </row>
    <row r="31">
      <c r="A31" s="14">
        <v>2025.0</v>
      </c>
      <c r="B31" s="14" t="s">
        <v>90</v>
      </c>
      <c r="C31" s="24">
        <v>63.99</v>
      </c>
      <c r="D31" s="19">
        <v>0.0</v>
      </c>
      <c r="E31" s="18">
        <v>2.1007903747671E11</v>
      </c>
      <c r="F31" s="14">
        <v>0.29</v>
      </c>
      <c r="G31" s="14">
        <v>0.7</v>
      </c>
      <c r="H31" s="18">
        <v>4.264604460777E10</v>
      </c>
      <c r="I31" s="25">
        <v>0.59</v>
      </c>
    </row>
    <row r="32">
      <c r="A32" s="14">
        <v>2025.0</v>
      </c>
      <c r="B32" s="14" t="s">
        <v>21</v>
      </c>
      <c r="C32" s="24">
        <v>33.91</v>
      </c>
      <c r="D32" s="19">
        <v>0.0</v>
      </c>
      <c r="E32" s="18">
        <v>5.1519513397042E11</v>
      </c>
      <c r="F32" s="14">
        <v>0.18</v>
      </c>
      <c r="G32" s="14">
        <v>0.7</v>
      </c>
      <c r="H32" s="18">
        <v>6.491458688027E10</v>
      </c>
      <c r="I32" s="25">
        <v>0.9</v>
      </c>
    </row>
    <row r="33">
      <c r="A33" s="14">
        <v>2025.0</v>
      </c>
      <c r="B33" s="14" t="s">
        <v>93</v>
      </c>
      <c r="C33" s="24">
        <v>300.28</v>
      </c>
      <c r="D33" s="19">
        <v>0.0</v>
      </c>
      <c r="E33" s="18">
        <v>6.48212874544E12</v>
      </c>
      <c r="F33" s="14">
        <v>0.48</v>
      </c>
      <c r="G33" s="14">
        <v>0.2786734</v>
      </c>
      <c r="H33" s="18">
        <v>8.6707049123015E11</v>
      </c>
      <c r="I33" s="25">
        <v>11.97</v>
      </c>
    </row>
    <row r="34">
      <c r="A34" s="14">
        <v>2025.0</v>
      </c>
      <c r="B34" s="14" t="s">
        <v>94</v>
      </c>
      <c r="C34" s="24">
        <v>299.74</v>
      </c>
      <c r="D34" s="19">
        <v>5.573468E8</v>
      </c>
      <c r="E34" s="18">
        <v>2.9974E11</v>
      </c>
      <c r="F34" s="14">
        <v>1.0</v>
      </c>
      <c r="G34" s="14">
        <v>0.5573468</v>
      </c>
      <c r="H34" s="18">
        <v>1.67059129832E11</v>
      </c>
      <c r="I34" s="25">
        <v>2.31</v>
      </c>
    </row>
    <row r="35">
      <c r="A35" s="14">
        <v>2025.0</v>
      </c>
      <c r="B35" s="14" t="s">
        <v>141</v>
      </c>
      <c r="C35" s="24">
        <v>21.79</v>
      </c>
      <c r="D35" s="19">
        <v>0.0</v>
      </c>
      <c r="E35" s="18">
        <v>7.7846942462195E11</v>
      </c>
      <c r="F35" s="14">
        <v>0.25</v>
      </c>
      <c r="G35" s="14">
        <v>0.7</v>
      </c>
      <c r="H35" s="18">
        <v>1.3623214930884E11</v>
      </c>
      <c r="I35" s="25">
        <v>1.88</v>
      </c>
    </row>
    <row r="36">
      <c r="A36" s="14">
        <v>2025.0</v>
      </c>
      <c r="B36" s="14" t="s">
        <v>142</v>
      </c>
      <c r="C36" s="24">
        <v>41.8</v>
      </c>
      <c r="D36" s="19">
        <v>0.0</v>
      </c>
      <c r="E36" s="18">
        <v>3.21943526223E11</v>
      </c>
      <c r="F36" s="14">
        <v>0.73</v>
      </c>
      <c r="G36" s="14">
        <v>0.5</v>
      </c>
      <c r="H36" s="18">
        <v>1.175093870714E11</v>
      </c>
      <c r="I36" s="25">
        <v>1.62</v>
      </c>
    </row>
    <row r="37">
      <c r="A37" s="14">
        <v>2025.0</v>
      </c>
      <c r="B37" s="14" t="s">
        <v>100</v>
      </c>
      <c r="C37" s="24">
        <v>12.665</v>
      </c>
      <c r="D37" s="19">
        <v>0.0</v>
      </c>
      <c r="E37" s="18">
        <v>2.8516803908183E11</v>
      </c>
      <c r="F37" s="14">
        <v>0.13</v>
      </c>
      <c r="G37" s="14">
        <v>1.0</v>
      </c>
      <c r="H37" s="18">
        <v>3.707184508064E10</v>
      </c>
      <c r="I37" s="25">
        <v>0.51</v>
      </c>
    </row>
    <row r="38">
      <c r="A38" s="14">
        <v>2025.0</v>
      </c>
      <c r="B38" s="14" t="s">
        <v>23</v>
      </c>
      <c r="C38" s="24">
        <v>3277.6</v>
      </c>
      <c r="D38" s="19">
        <v>0.0</v>
      </c>
      <c r="E38" s="18">
        <v>8.792974385936E11</v>
      </c>
      <c r="F38" s="14">
        <v>0.56</v>
      </c>
      <c r="G38" s="14">
        <v>0.7</v>
      </c>
      <c r="H38" s="18">
        <v>3.4468459592869E11</v>
      </c>
      <c r="I38" s="25">
        <v>4.76</v>
      </c>
    </row>
    <row r="39">
      <c r="A39" s="14">
        <v>2025.0</v>
      </c>
      <c r="B39" s="14" t="s">
        <v>136</v>
      </c>
      <c r="C39" s="24">
        <v>581.0</v>
      </c>
      <c r="D39" s="19">
        <v>0.0</v>
      </c>
      <c r="E39" s="18">
        <v>1.2658192967E12</v>
      </c>
      <c r="F39" s="14">
        <v>0.32</v>
      </c>
      <c r="G39" s="14">
        <v>0.8</v>
      </c>
      <c r="H39" s="18">
        <v>3.240497399552E11</v>
      </c>
      <c r="I39" s="25">
        <v>4.47</v>
      </c>
    </row>
    <row r="40">
      <c r="A40" s="14">
        <v>2025.0</v>
      </c>
      <c r="B40" s="14" t="s">
        <v>137</v>
      </c>
      <c r="C40" s="24">
        <v>540.7</v>
      </c>
      <c r="D40" s="19">
        <v>1.0325595E8</v>
      </c>
      <c r="E40" s="18">
        <v>7.975784595E10</v>
      </c>
      <c r="F40" s="14">
        <v>1.0</v>
      </c>
      <c r="G40" s="14">
        <v>0.7</v>
      </c>
      <c r="H40" s="18">
        <v>5.5830492165E10</v>
      </c>
      <c r="I40" s="25">
        <v>0.77</v>
      </c>
    </row>
    <row r="41">
      <c r="A41" s="14">
        <v>2025.0</v>
      </c>
      <c r="B41" s="14" t="s">
        <v>104</v>
      </c>
      <c r="C41" s="24">
        <v>1381.4</v>
      </c>
      <c r="D41" s="19">
        <v>2.301215E7</v>
      </c>
      <c r="E41" s="18">
        <v>2.147904325E11</v>
      </c>
      <c r="F41" s="14">
        <v>0.37</v>
      </c>
      <c r="G41" s="14">
        <v>0.4</v>
      </c>
      <c r="H41" s="18">
        <v>3.178898401E10</v>
      </c>
      <c r="I41" s="25">
        <v>0.44</v>
      </c>
    </row>
    <row r="42">
      <c r="A42" s="14">
        <v>2025.0</v>
      </c>
      <c r="B42" s="14" t="s">
        <v>179</v>
      </c>
      <c r="C42" s="24">
        <v>0.5476</v>
      </c>
      <c r="D42" s="19">
        <v>0.0</v>
      </c>
      <c r="E42" s="18">
        <v>1.2199369774088E11</v>
      </c>
      <c r="F42" s="14">
        <v>0.11</v>
      </c>
      <c r="G42" s="14">
        <v>1.0</v>
      </c>
      <c r="H42" s="18">
        <v>1.34193067515E10</v>
      </c>
      <c r="I42" s="25">
        <v>0.19</v>
      </c>
    </row>
    <row r="43">
      <c r="A43" s="14">
        <v>2025.0</v>
      </c>
      <c r="B43" s="14" t="s">
        <v>15</v>
      </c>
      <c r="C43" s="24">
        <v>302.3</v>
      </c>
      <c r="D43" s="19">
        <v>0.0</v>
      </c>
      <c r="E43" s="18">
        <v>1.73188933614E11</v>
      </c>
      <c r="F43" s="14">
        <v>0.2</v>
      </c>
      <c r="G43" s="14">
        <v>0.9</v>
      </c>
      <c r="H43" s="18">
        <v>3.117400805052E10</v>
      </c>
      <c r="I43" s="25">
        <v>0.43</v>
      </c>
    </row>
    <row r="44">
      <c r="A44" s="14">
        <v>2025.0</v>
      </c>
      <c r="B44" s="14" t="s">
        <v>9</v>
      </c>
      <c r="C44" s="24">
        <v>72.25</v>
      </c>
      <c r="D44" s="19">
        <v>3.310209141E9</v>
      </c>
      <c r="E44" s="18">
        <v>4.783252208745E11</v>
      </c>
      <c r="F44" s="14">
        <v>0.5</v>
      </c>
      <c r="G44" s="14">
        <v>1.0</v>
      </c>
      <c r="H44" s="18">
        <v>2.3916261043725E11</v>
      </c>
      <c r="I44" s="25">
        <v>3.3</v>
      </c>
    </row>
    <row r="45">
      <c r="A45" s="14">
        <v>2025.0</v>
      </c>
      <c r="B45" s="14" t="s">
        <v>61</v>
      </c>
      <c r="C45" s="24">
        <v>3011.0</v>
      </c>
      <c r="D45" s="19">
        <v>0.0</v>
      </c>
      <c r="E45" s="18">
        <v>8.17705917592E11</v>
      </c>
      <c r="F45" s="14">
        <v>0.29</v>
      </c>
      <c r="G45" s="14">
        <v>1.0</v>
      </c>
      <c r="H45" s="18">
        <v>2.3713471610168E11</v>
      </c>
      <c r="I45" s="25">
        <v>3.27</v>
      </c>
    </row>
    <row r="46">
      <c r="A46" s="14">
        <v>2025.0</v>
      </c>
      <c r="B46" s="14" t="s">
        <v>31</v>
      </c>
      <c r="C46" s="24">
        <v>4582.5</v>
      </c>
      <c r="D46" s="19">
        <v>0.0</v>
      </c>
      <c r="E46" s="18">
        <v>1.8022096371825E12</v>
      </c>
      <c r="F46" s="14">
        <v>0.3</v>
      </c>
      <c r="G46" s="14">
        <v>1.0</v>
      </c>
      <c r="H46" s="18">
        <v>5.4066289115475E11</v>
      </c>
      <c r="I46" s="25">
        <v>7.46</v>
      </c>
    </row>
    <row r="47">
      <c r="A47" s="14">
        <v>2024.0</v>
      </c>
      <c r="B47" s="14" t="s">
        <v>37</v>
      </c>
      <c r="C47" s="14">
        <v>15.195</v>
      </c>
      <c r="D47" s="18">
        <v>1.9107E9</v>
      </c>
      <c r="E47" s="18">
        <v>1.4663175E11</v>
      </c>
      <c r="F47" s="14">
        <v>0.33</v>
      </c>
      <c r="G47" s="14">
        <v>0.6</v>
      </c>
      <c r="H47" s="18">
        <v>2.90330865E10</v>
      </c>
      <c r="I47" s="14">
        <v>0.47</v>
      </c>
    </row>
    <row r="48">
      <c r="A48" s="14">
        <v>2024.0</v>
      </c>
      <c r="B48" s="14" t="s">
        <v>39</v>
      </c>
      <c r="C48" s="14">
        <v>59.0</v>
      </c>
      <c r="D48" s="18">
        <v>7.95154243E8</v>
      </c>
      <c r="E48" s="18">
        <v>2.34570501685E11</v>
      </c>
      <c r="F48" s="14">
        <v>0.25</v>
      </c>
      <c r="G48" s="14">
        <v>0.8</v>
      </c>
      <c r="H48" s="18">
        <v>4.6914100337E10</v>
      </c>
      <c r="I48" s="14">
        <v>0.75</v>
      </c>
    </row>
    <row r="49">
      <c r="A49" s="14">
        <v>2024.0</v>
      </c>
      <c r="B49" s="14" t="s">
        <v>7</v>
      </c>
      <c r="C49" s="14">
        <v>57.6</v>
      </c>
      <c r="D49" s="18">
        <v>0.0</v>
      </c>
      <c r="E49" s="18">
        <v>4.24222020288E11</v>
      </c>
      <c r="F49" s="14">
        <v>0.34</v>
      </c>
      <c r="G49" s="14">
        <v>0.4</v>
      </c>
      <c r="H49" s="18">
        <v>5.769419475917E10</v>
      </c>
      <c r="I49" s="14">
        <v>0.93</v>
      </c>
    </row>
    <row r="50">
      <c r="A50" s="14">
        <v>2024.0</v>
      </c>
      <c r="B50" s="14" t="s">
        <v>120</v>
      </c>
      <c r="C50" s="14">
        <v>472.2</v>
      </c>
      <c r="D50" s="18">
        <v>3.15E7</v>
      </c>
      <c r="E50" s="18">
        <v>9.9162E10</v>
      </c>
      <c r="F50" s="14">
        <v>0.15</v>
      </c>
      <c r="G50" s="14">
        <v>1.0</v>
      </c>
      <c r="H50" s="18">
        <v>1.48743E10</v>
      </c>
      <c r="I50" s="14">
        <v>0.24</v>
      </c>
    </row>
    <row r="51">
      <c r="A51" s="14">
        <v>2024.0</v>
      </c>
      <c r="B51" s="14" t="s">
        <v>33</v>
      </c>
      <c r="C51" s="14">
        <v>367.0</v>
      </c>
      <c r="D51" s="18">
        <v>0.0</v>
      </c>
      <c r="E51" s="18">
        <v>1.67918659377E11</v>
      </c>
      <c r="F51" s="14">
        <v>0.27</v>
      </c>
      <c r="G51" s="14">
        <v>0.6</v>
      </c>
      <c r="H51" s="18">
        <v>2.720282281907E10</v>
      </c>
      <c r="I51" s="14">
        <v>0.44</v>
      </c>
    </row>
    <row r="52">
      <c r="A52" s="14">
        <v>2024.0</v>
      </c>
      <c r="B52" s="14" t="s">
        <v>4</v>
      </c>
      <c r="C52" s="14">
        <v>10.15</v>
      </c>
      <c r="D52" s="18">
        <v>0.0</v>
      </c>
      <c r="E52" s="18">
        <v>3.393115551399E11</v>
      </c>
      <c r="F52" s="14">
        <v>0.22</v>
      </c>
      <c r="G52" s="14">
        <v>0.7</v>
      </c>
      <c r="H52" s="18">
        <v>5.225397949154E10</v>
      </c>
      <c r="I52" s="14">
        <v>0.84</v>
      </c>
    </row>
    <row r="53">
      <c r="A53" s="14">
        <v>2024.0</v>
      </c>
      <c r="B53" s="14" t="s">
        <v>96</v>
      </c>
      <c r="C53" s="14">
        <v>1311.0</v>
      </c>
      <c r="D53" s="18">
        <v>0.0</v>
      </c>
      <c r="E53" s="18">
        <v>1.09824916326E12</v>
      </c>
      <c r="F53" s="14">
        <v>0.23</v>
      </c>
      <c r="G53" s="14">
        <v>0.4</v>
      </c>
      <c r="H53" s="18">
        <v>1.0103892301992E11</v>
      </c>
      <c r="I53" s="14">
        <v>1.62</v>
      </c>
    </row>
    <row r="54">
      <c r="A54" s="14">
        <v>2024.0</v>
      </c>
      <c r="B54" s="14" t="s">
        <v>29</v>
      </c>
      <c r="C54" s="14">
        <v>347.5</v>
      </c>
      <c r="D54" s="18">
        <v>0.0</v>
      </c>
      <c r="E54" s="18">
        <v>2.2199999136E11</v>
      </c>
      <c r="F54" s="14">
        <v>0.14</v>
      </c>
      <c r="G54" s="14">
        <v>0.6</v>
      </c>
      <c r="H54" s="18">
        <v>1.864799927424E10</v>
      </c>
      <c r="I54" s="14">
        <v>0.3</v>
      </c>
    </row>
    <row r="55">
      <c r="A55" s="14">
        <v>2024.0</v>
      </c>
      <c r="B55" s="14" t="s">
        <v>108</v>
      </c>
      <c r="C55" s="14">
        <v>0.07754</v>
      </c>
      <c r="D55" s="18">
        <v>0.0</v>
      </c>
      <c r="E55" s="18">
        <v>1.6387769626853E11</v>
      </c>
      <c r="F55" s="14">
        <v>0.18</v>
      </c>
      <c r="G55" s="14">
        <v>0.6</v>
      </c>
      <c r="H55" s="18">
        <v>1.7698791197E10</v>
      </c>
      <c r="I55" s="14">
        <v>0.28</v>
      </c>
    </row>
    <row r="56">
      <c r="A56" s="14">
        <v>2024.0</v>
      </c>
      <c r="B56" s="14" t="s">
        <v>134</v>
      </c>
      <c r="C56" s="14">
        <v>98.65</v>
      </c>
      <c r="D56" s="18">
        <v>0.0</v>
      </c>
      <c r="E56" s="18">
        <v>2.3429314833365E11</v>
      </c>
      <c r="F56" s="14">
        <v>0.16</v>
      </c>
      <c r="G56" s="14">
        <v>0.7</v>
      </c>
      <c r="H56" s="18">
        <v>2.624083261337E10</v>
      </c>
      <c r="I56" s="14">
        <v>0.42</v>
      </c>
    </row>
    <row r="57">
      <c r="A57" s="14">
        <v>2024.0</v>
      </c>
      <c r="B57" s="14" t="s">
        <v>43</v>
      </c>
      <c r="C57" s="14">
        <v>132.42</v>
      </c>
      <c r="D57" s="18">
        <v>5.918378225E9</v>
      </c>
      <c r="E57" s="18">
        <v>3.134846578218E12</v>
      </c>
      <c r="F57" s="14">
        <v>0.5</v>
      </c>
      <c r="G57" s="14">
        <v>0.5</v>
      </c>
      <c r="H57" s="18">
        <v>7.837116445545E11</v>
      </c>
      <c r="I57" s="14">
        <v>12.57</v>
      </c>
    </row>
    <row r="58">
      <c r="A58" s="14">
        <v>2024.0</v>
      </c>
      <c r="B58" s="14" t="s">
        <v>45</v>
      </c>
      <c r="C58" s="14">
        <v>115.56</v>
      </c>
      <c r="D58" s="18">
        <v>0.0</v>
      </c>
      <c r="E58" s="18">
        <v>1.766489415732E12</v>
      </c>
      <c r="F58" s="14">
        <v>0.32</v>
      </c>
      <c r="G58" s="14">
        <v>0.4</v>
      </c>
      <c r="H58" s="18">
        <v>2.261106452137E11</v>
      </c>
      <c r="I58" s="14">
        <v>3.63</v>
      </c>
    </row>
    <row r="59">
      <c r="A59" s="14">
        <v>2024.0</v>
      </c>
      <c r="B59" s="14" t="s">
        <v>25</v>
      </c>
      <c r="C59" s="14">
        <v>3698.0</v>
      </c>
      <c r="D59" s="18">
        <v>0.0</v>
      </c>
      <c r="E59" s="18">
        <v>1.74489826764E11</v>
      </c>
      <c r="F59" s="14">
        <v>0.42</v>
      </c>
      <c r="G59" s="14">
        <v>1.0</v>
      </c>
      <c r="H59" s="18">
        <v>7.328572724088E10</v>
      </c>
      <c r="I59" s="14">
        <v>1.18</v>
      </c>
    </row>
    <row r="60">
      <c r="A60" s="14">
        <v>2024.0</v>
      </c>
      <c r="B60" s="14" t="s">
        <v>106</v>
      </c>
      <c r="C60" s="14">
        <v>0.5164</v>
      </c>
      <c r="D60" s="18">
        <v>0.0</v>
      </c>
      <c r="E60" s="18">
        <v>2.2969129990242E11</v>
      </c>
      <c r="F60" s="14">
        <v>0.15</v>
      </c>
      <c r="G60" s="14">
        <v>0.4</v>
      </c>
      <c r="H60" s="18">
        <v>1.378147799415E10</v>
      </c>
      <c r="I60" s="14">
        <v>0.22</v>
      </c>
    </row>
    <row r="61">
      <c r="A61" s="14">
        <v>2024.0</v>
      </c>
      <c r="B61" s="14" t="s">
        <v>59</v>
      </c>
      <c r="C61" s="14">
        <v>3.72</v>
      </c>
      <c r="D61" s="18">
        <v>2.33856E10</v>
      </c>
      <c r="E61" s="18">
        <v>3.88368E11</v>
      </c>
      <c r="F61" s="14">
        <v>0.32</v>
      </c>
      <c r="G61" s="14">
        <v>0.7</v>
      </c>
      <c r="H61" s="18">
        <v>8.6994432E10</v>
      </c>
      <c r="I61" s="14">
        <v>1.4</v>
      </c>
    </row>
    <row r="62">
      <c r="A62" s="14">
        <v>2024.0</v>
      </c>
      <c r="B62" s="14" t="s">
        <v>63</v>
      </c>
      <c r="C62" s="14">
        <v>714.6</v>
      </c>
      <c r="D62" s="18">
        <v>1.56E7</v>
      </c>
      <c r="E62" s="18">
        <v>8.5752E10</v>
      </c>
      <c r="F62" s="14">
        <v>0.13</v>
      </c>
      <c r="G62" s="14">
        <v>1.0</v>
      </c>
      <c r="H62" s="18">
        <v>1.114776E10</v>
      </c>
      <c r="I62" s="14">
        <v>0.18</v>
      </c>
    </row>
    <row r="63">
      <c r="A63" s="14">
        <v>2024.0</v>
      </c>
      <c r="B63" s="14" t="s">
        <v>78</v>
      </c>
      <c r="C63" s="14">
        <v>7240.5</v>
      </c>
      <c r="D63" s="18">
        <v>0.0</v>
      </c>
      <c r="E63" s="18">
        <v>5.016694549761E12</v>
      </c>
      <c r="F63" s="14">
        <v>0.55</v>
      </c>
      <c r="G63" s="14">
        <v>0.3180602</v>
      </c>
      <c r="H63" s="18">
        <v>8.7758597950989E11</v>
      </c>
      <c r="I63" s="14">
        <v>14.07</v>
      </c>
    </row>
    <row r="64">
      <c r="A64" s="14">
        <v>2024.0</v>
      </c>
      <c r="B64" s="14" t="s">
        <v>69</v>
      </c>
      <c r="C64" s="14">
        <v>38.535</v>
      </c>
      <c r="D64" s="18">
        <v>1.3409196E9</v>
      </c>
      <c r="E64" s="18">
        <v>4.3060280655E11</v>
      </c>
      <c r="F64" s="14">
        <v>0.2</v>
      </c>
      <c r="G64" s="14">
        <v>0.6</v>
      </c>
      <c r="H64" s="18">
        <v>5.1672336786E10</v>
      </c>
      <c r="I64" s="14">
        <v>0.83</v>
      </c>
    </row>
    <row r="65">
      <c r="A65" s="14">
        <v>2024.0</v>
      </c>
      <c r="B65" s="14" t="s">
        <v>147</v>
      </c>
      <c r="C65" s="14">
        <v>5100.0</v>
      </c>
      <c r="D65" s="18">
        <v>0.0</v>
      </c>
      <c r="E65" s="18">
        <v>5.197479105E11</v>
      </c>
      <c r="F65" s="14">
        <v>0.37</v>
      </c>
      <c r="G65" s="14">
        <v>0.3</v>
      </c>
      <c r="H65" s="18">
        <v>5.76920180655E10</v>
      </c>
      <c r="I65" s="14">
        <v>0.93</v>
      </c>
    </row>
    <row r="66">
      <c r="A66" s="14">
        <v>2024.0</v>
      </c>
      <c r="B66" s="14" t="s">
        <v>76</v>
      </c>
      <c r="C66" s="14">
        <v>198.49</v>
      </c>
      <c r="D66" s="18">
        <v>0.0</v>
      </c>
      <c r="E66" s="18">
        <v>4.5184292539842E11</v>
      </c>
      <c r="F66" s="14">
        <v>0.64</v>
      </c>
      <c r="G66" s="14">
        <v>0.3</v>
      </c>
      <c r="H66" s="18">
        <v>8.67538416765E10</v>
      </c>
      <c r="I66" s="14">
        <v>1.39</v>
      </c>
    </row>
    <row r="67">
      <c r="A67" s="14">
        <v>2024.0</v>
      </c>
      <c r="B67" s="14" t="s">
        <v>126</v>
      </c>
      <c r="C67" s="14">
        <v>2.343</v>
      </c>
      <c r="D67" s="18">
        <v>7.154884746E9</v>
      </c>
      <c r="E67" s="18">
        <v>9.31327497771E10</v>
      </c>
      <c r="F67" s="14">
        <v>0.2</v>
      </c>
      <c r="G67" s="14">
        <v>0.9</v>
      </c>
      <c r="H67" s="18">
        <v>1.676389495988E10</v>
      </c>
      <c r="I67" s="14">
        <v>0.27</v>
      </c>
    </row>
    <row r="68">
      <c r="A68" s="14">
        <v>2024.0</v>
      </c>
      <c r="B68" s="14" t="s">
        <v>71</v>
      </c>
      <c r="C68" s="14">
        <v>101.46</v>
      </c>
      <c r="D68" s="18">
        <v>0.0</v>
      </c>
      <c r="E68" s="18">
        <v>4.22348297877E10</v>
      </c>
      <c r="F68" s="14">
        <v>0.43</v>
      </c>
      <c r="G68" s="14">
        <v>0.6</v>
      </c>
      <c r="H68" s="18">
        <v>1.089658608523E10</v>
      </c>
      <c r="I68" s="14">
        <v>0.17</v>
      </c>
    </row>
    <row r="69">
      <c r="A69" s="14">
        <v>2024.0</v>
      </c>
      <c r="B69" s="14" t="s">
        <v>72</v>
      </c>
      <c r="C69" s="14">
        <v>119.8</v>
      </c>
      <c r="D69" s="18">
        <v>0.0</v>
      </c>
      <c r="E69" s="18">
        <v>1.6623078417E10</v>
      </c>
      <c r="F69" s="14">
        <v>0.6</v>
      </c>
      <c r="G69" s="14">
        <v>0.8</v>
      </c>
      <c r="H69" s="18">
        <v>7.97907764016E9</v>
      </c>
      <c r="I69" s="14">
        <v>0.13</v>
      </c>
    </row>
    <row r="70">
      <c r="A70" s="14">
        <v>2024.0</v>
      </c>
      <c r="B70" s="14" t="s">
        <v>74</v>
      </c>
      <c r="C70" s="14">
        <v>210.3</v>
      </c>
      <c r="D70" s="18">
        <v>0.0</v>
      </c>
      <c r="E70" s="18">
        <v>4.202596452225E11</v>
      </c>
      <c r="F70" s="14">
        <v>0.41</v>
      </c>
      <c r="G70" s="14">
        <v>0.4</v>
      </c>
      <c r="H70" s="18">
        <v>6.892258181649E10</v>
      </c>
      <c r="I70" s="14">
        <v>1.11</v>
      </c>
    </row>
    <row r="71">
      <c r="A71" s="14">
        <v>2024.0</v>
      </c>
      <c r="B71" s="14" t="s">
        <v>82</v>
      </c>
      <c r="C71" s="14">
        <v>146.42</v>
      </c>
      <c r="D71" s="18">
        <v>0.0</v>
      </c>
      <c r="E71" s="18">
        <v>8.775283324808E11</v>
      </c>
      <c r="F71" s="14">
        <v>0.21</v>
      </c>
      <c r="G71" s="14">
        <v>0.5</v>
      </c>
      <c r="H71" s="18">
        <v>9.214047491048E10</v>
      </c>
      <c r="I71" s="14">
        <v>1.48</v>
      </c>
    </row>
    <row r="72">
      <c r="A72" s="14">
        <v>2024.0</v>
      </c>
      <c r="B72" s="14" t="s">
        <v>130</v>
      </c>
      <c r="C72" s="14">
        <v>999.6</v>
      </c>
      <c r="D72" s="18">
        <v>2.55049704E8</v>
      </c>
      <c r="E72" s="18">
        <v>3.0350914776E12</v>
      </c>
      <c r="F72" s="14">
        <v>0.21</v>
      </c>
      <c r="G72" s="14">
        <v>0.4</v>
      </c>
      <c r="H72" s="18">
        <v>2.549476841184E11</v>
      </c>
      <c r="I72" s="14">
        <v>4.09</v>
      </c>
    </row>
    <row r="73">
      <c r="A73" s="14">
        <v>2024.0</v>
      </c>
      <c r="B73" s="14" t="s">
        <v>112</v>
      </c>
      <c r="C73" s="14">
        <v>6362.0</v>
      </c>
      <c r="D73" s="18">
        <v>6734000.0</v>
      </c>
      <c r="E73" s="18">
        <v>8.23879E11</v>
      </c>
      <c r="F73" s="14">
        <v>0.26</v>
      </c>
      <c r="G73" s="14">
        <v>0.2</v>
      </c>
      <c r="H73" s="18">
        <v>4.2841708E10</v>
      </c>
      <c r="I73" s="14">
        <v>0.69</v>
      </c>
    </row>
    <row r="74">
      <c r="A74" s="14">
        <v>2024.0</v>
      </c>
      <c r="B74" s="14" t="s">
        <v>86</v>
      </c>
      <c r="C74" s="14">
        <v>491.8</v>
      </c>
      <c r="D74" s="18">
        <v>0.0</v>
      </c>
      <c r="E74" s="18">
        <v>3.248325937792E11</v>
      </c>
      <c r="F74" s="14">
        <v>0.21</v>
      </c>
      <c r="G74" s="14">
        <v>1.0</v>
      </c>
      <c r="H74" s="18">
        <v>6.821484469363E10</v>
      </c>
      <c r="I74" s="14">
        <v>1.09</v>
      </c>
    </row>
    <row r="75">
      <c r="A75" s="14">
        <v>2024.0</v>
      </c>
      <c r="B75" s="14" t="s">
        <v>88</v>
      </c>
      <c r="C75" s="14">
        <v>14000.0</v>
      </c>
      <c r="D75" s="18">
        <v>0.0</v>
      </c>
      <c r="E75" s="18">
        <v>1.9049716E12</v>
      </c>
      <c r="F75" s="14">
        <v>0.22</v>
      </c>
      <c r="G75" s="14">
        <v>0.4</v>
      </c>
      <c r="H75" s="18">
        <v>1.676375008E11</v>
      </c>
      <c r="I75" s="14">
        <v>2.69</v>
      </c>
    </row>
    <row r="76">
      <c r="A76" s="14">
        <v>2024.0</v>
      </c>
      <c r="B76" s="14" t="s">
        <v>51</v>
      </c>
      <c r="C76" s="14">
        <v>2009.6</v>
      </c>
      <c r="D76" s="18">
        <v>1.518E7</v>
      </c>
      <c r="E76" s="18">
        <v>1.326336E11</v>
      </c>
      <c r="F76" s="14">
        <v>0.23</v>
      </c>
      <c r="G76" s="14">
        <v>1.0</v>
      </c>
      <c r="H76" s="18">
        <v>3.0505728E10</v>
      </c>
      <c r="I76" s="14">
        <v>0.49</v>
      </c>
    </row>
    <row r="77">
      <c r="A77" s="14">
        <v>2024.0</v>
      </c>
      <c r="B77" s="14" t="s">
        <v>132</v>
      </c>
      <c r="C77" s="14">
        <v>605.6</v>
      </c>
      <c r="D77" s="18">
        <v>0.0</v>
      </c>
      <c r="E77" s="18">
        <v>6.4182564859752E12</v>
      </c>
      <c r="F77" s="14">
        <v>0.11</v>
      </c>
      <c r="G77" s="14">
        <v>0.4</v>
      </c>
      <c r="H77" s="18">
        <v>2.8240328538291E11</v>
      </c>
      <c r="I77" s="14">
        <v>4.53</v>
      </c>
    </row>
    <row r="78">
      <c r="A78" s="14">
        <v>2024.0</v>
      </c>
      <c r="B78" s="14" t="s">
        <v>90</v>
      </c>
      <c r="C78" s="14">
        <v>65.75</v>
      </c>
      <c r="D78" s="18">
        <v>0.0</v>
      </c>
      <c r="E78" s="18">
        <v>2.1585711383175E11</v>
      </c>
      <c r="F78" s="14">
        <v>0.29</v>
      </c>
      <c r="G78" s="14">
        <v>0.7</v>
      </c>
      <c r="H78" s="18">
        <v>4.381899410785E10</v>
      </c>
      <c r="I78" s="14">
        <v>0.7</v>
      </c>
    </row>
    <row r="79">
      <c r="A79" s="14">
        <v>2024.0</v>
      </c>
      <c r="B79" s="14" t="s">
        <v>21</v>
      </c>
      <c r="C79" s="14">
        <v>36.92</v>
      </c>
      <c r="D79" s="18">
        <v>0.0</v>
      </c>
      <c r="E79" s="18">
        <v>5.6092610870504E11</v>
      </c>
      <c r="F79" s="14">
        <v>0.18</v>
      </c>
      <c r="G79" s="14">
        <v>0.7</v>
      </c>
      <c r="H79" s="18">
        <v>7.067668969684E10</v>
      </c>
      <c r="I79" s="14">
        <v>1.13</v>
      </c>
    </row>
    <row r="80">
      <c r="A80" s="14">
        <v>2024.0</v>
      </c>
      <c r="B80" s="14" t="s">
        <v>93</v>
      </c>
      <c r="C80" s="14">
        <v>279.4</v>
      </c>
      <c r="D80" s="18">
        <v>0.0</v>
      </c>
      <c r="E80" s="18">
        <v>6.0313932712E12</v>
      </c>
      <c r="F80" s="14">
        <v>0.48</v>
      </c>
      <c r="G80" s="14">
        <v>0.2869555</v>
      </c>
      <c r="H80" s="18">
        <v>8.3075590648023E11</v>
      </c>
      <c r="I80" s="14">
        <v>13.32</v>
      </c>
    </row>
    <row r="81">
      <c r="A81" s="14">
        <v>2024.0</v>
      </c>
      <c r="B81" s="14" t="s">
        <v>94</v>
      </c>
      <c r="C81" s="14">
        <v>279.6</v>
      </c>
      <c r="D81" s="18">
        <v>5.73911E8</v>
      </c>
      <c r="E81" s="18">
        <v>2.796E11</v>
      </c>
      <c r="F81" s="14">
        <v>1.0</v>
      </c>
      <c r="G81" s="14">
        <v>0.573911</v>
      </c>
      <c r="H81" s="18">
        <v>1.604655156E11</v>
      </c>
      <c r="I81" s="14">
        <v>2.57</v>
      </c>
    </row>
    <row r="82">
      <c r="A82" s="14">
        <v>2024.0</v>
      </c>
      <c r="B82" s="14" t="s">
        <v>98</v>
      </c>
      <c r="C82" s="14">
        <v>41.94</v>
      </c>
      <c r="D82" s="18">
        <v>2.575E8</v>
      </c>
      <c r="E82" s="18">
        <v>4.31982E10</v>
      </c>
      <c r="F82" s="14">
        <v>0.25</v>
      </c>
      <c r="G82" s="14">
        <v>1.0</v>
      </c>
      <c r="H82" s="18">
        <v>1.079955E10</v>
      </c>
      <c r="I82" s="14">
        <v>0.17</v>
      </c>
    </row>
    <row r="83">
      <c r="A83" s="14">
        <v>2024.0</v>
      </c>
      <c r="B83" s="14" t="s">
        <v>128</v>
      </c>
      <c r="C83" s="14">
        <v>1031.0</v>
      </c>
      <c r="D83" s="18">
        <v>0.0</v>
      </c>
      <c r="E83" s="18">
        <v>6.3488318098E10</v>
      </c>
      <c r="F83" s="14">
        <v>0.09</v>
      </c>
      <c r="G83" s="14">
        <v>0.9</v>
      </c>
      <c r="H83" s="18">
        <v>5.14255376594E9</v>
      </c>
      <c r="I83" s="14">
        <v>0.08</v>
      </c>
    </row>
    <row r="84">
      <c r="A84" s="14">
        <v>2024.0</v>
      </c>
      <c r="B84" s="14" t="s">
        <v>141</v>
      </c>
      <c r="C84" s="14">
        <v>24.83</v>
      </c>
      <c r="D84" s="18">
        <v>0.0</v>
      </c>
      <c r="E84" s="18">
        <v>8.8707644852515E11</v>
      </c>
      <c r="F84" s="14">
        <v>0.25</v>
      </c>
      <c r="G84" s="14">
        <v>0.7</v>
      </c>
      <c r="H84" s="18">
        <v>1.552383784919E11</v>
      </c>
      <c r="I84" s="14">
        <v>2.49</v>
      </c>
    </row>
    <row r="85">
      <c r="A85" s="14">
        <v>2024.0</v>
      </c>
      <c r="B85" s="14" t="s">
        <v>142</v>
      </c>
      <c r="C85" s="14">
        <v>60.445</v>
      </c>
      <c r="D85" s="18">
        <v>0.0</v>
      </c>
      <c r="E85" s="18">
        <v>4.6554728331458E11</v>
      </c>
      <c r="F85" s="14">
        <v>0.73</v>
      </c>
      <c r="G85" s="14">
        <v>0.5</v>
      </c>
      <c r="H85" s="18">
        <v>1.6992475840982E11</v>
      </c>
      <c r="I85" s="14">
        <v>2.73</v>
      </c>
    </row>
    <row r="86">
      <c r="A86" s="14">
        <v>2024.0</v>
      </c>
      <c r="B86" s="14" t="s">
        <v>100</v>
      </c>
      <c r="C86" s="14">
        <v>14.19</v>
      </c>
      <c r="D86" s="18">
        <v>0.0</v>
      </c>
      <c r="E86" s="18">
        <v>2.9364709196625E11</v>
      </c>
      <c r="F86" s="14">
        <v>0.1</v>
      </c>
      <c r="G86" s="14">
        <v>1.0</v>
      </c>
      <c r="H86" s="18">
        <v>2.936470919663E10</v>
      </c>
      <c r="I86" s="14">
        <v>0.47</v>
      </c>
    </row>
    <row r="87">
      <c r="A87" s="14">
        <v>2024.0</v>
      </c>
      <c r="B87" s="14" t="s">
        <v>23</v>
      </c>
      <c r="C87" s="14">
        <v>2732.0</v>
      </c>
      <c r="D87" s="18">
        <v>0.0</v>
      </c>
      <c r="E87" s="18">
        <v>5.44502604144E11</v>
      </c>
      <c r="F87" s="14">
        <v>0.56</v>
      </c>
      <c r="G87" s="14">
        <v>0.7</v>
      </c>
      <c r="H87" s="18">
        <v>2.1344502082445E11</v>
      </c>
      <c r="I87" s="14">
        <v>3.42</v>
      </c>
    </row>
    <row r="88">
      <c r="A88" s="14">
        <v>2024.0</v>
      </c>
      <c r="B88" s="14" t="s">
        <v>136</v>
      </c>
      <c r="C88" s="14">
        <v>692.7</v>
      </c>
      <c r="D88" s="18">
        <v>0.0</v>
      </c>
      <c r="E88" s="18">
        <v>1.50917904789E12</v>
      </c>
      <c r="F88" s="14">
        <v>0.32</v>
      </c>
      <c r="G88" s="14">
        <v>0.8</v>
      </c>
      <c r="H88" s="18">
        <v>3.8634983625984E11</v>
      </c>
      <c r="I88" s="14">
        <v>6.2</v>
      </c>
    </row>
    <row r="89">
      <c r="A89" s="14">
        <v>2024.0</v>
      </c>
      <c r="B89" s="14" t="s">
        <v>137</v>
      </c>
      <c r="C89" s="14">
        <v>681.5</v>
      </c>
      <c r="D89" s="18">
        <v>1.0325595E8</v>
      </c>
      <c r="E89" s="18">
        <v>1.0052704275E11</v>
      </c>
      <c r="F89" s="14">
        <v>1.0</v>
      </c>
      <c r="G89" s="14">
        <v>0.7</v>
      </c>
      <c r="H89" s="18">
        <v>7.0368929925E10</v>
      </c>
      <c r="I89" s="14">
        <v>1.13</v>
      </c>
    </row>
    <row r="90">
      <c r="A90" s="14">
        <v>2024.0</v>
      </c>
      <c r="B90" s="14" t="s">
        <v>104</v>
      </c>
      <c r="C90" s="14">
        <v>1227.5</v>
      </c>
      <c r="D90" s="18">
        <v>2.301215E7</v>
      </c>
      <c r="E90" s="18">
        <v>1.9086090625E11</v>
      </c>
      <c r="F90" s="14">
        <v>0.37</v>
      </c>
      <c r="G90" s="14">
        <v>0.4</v>
      </c>
      <c r="H90" s="18">
        <v>2.8247414125E10</v>
      </c>
      <c r="I90" s="14">
        <v>0.45</v>
      </c>
    </row>
    <row r="91">
      <c r="A91" s="14">
        <v>2024.0</v>
      </c>
      <c r="B91" s="14" t="s">
        <v>179</v>
      </c>
      <c r="C91" s="14">
        <v>0.7481</v>
      </c>
      <c r="D91" s="18">
        <v>0.0</v>
      </c>
      <c r="E91" s="18">
        <v>1.666608569758E11</v>
      </c>
      <c r="F91" s="14">
        <v>0.1</v>
      </c>
      <c r="G91" s="14">
        <v>1.0</v>
      </c>
      <c r="H91" s="18">
        <v>1.666608569758E10</v>
      </c>
      <c r="I91" s="14">
        <v>0.27</v>
      </c>
    </row>
    <row r="92">
      <c r="A92" s="14">
        <v>2024.0</v>
      </c>
      <c r="B92" s="14" t="s">
        <v>118</v>
      </c>
      <c r="C92" s="14">
        <v>1.824</v>
      </c>
      <c r="D92" s="18">
        <v>0.0</v>
      </c>
      <c r="E92" s="18">
        <v>1.1500084000848E11</v>
      </c>
      <c r="F92" s="14">
        <v>0.16</v>
      </c>
      <c r="G92" s="14">
        <v>0.8</v>
      </c>
      <c r="H92" s="18">
        <v>1.472010752109E10</v>
      </c>
      <c r="I92" s="14">
        <v>0.24</v>
      </c>
    </row>
    <row r="93">
      <c r="A93" s="14">
        <v>2024.0</v>
      </c>
      <c r="B93" s="14" t="s">
        <v>15</v>
      </c>
      <c r="C93" s="14">
        <v>308.2</v>
      </c>
      <c r="D93" s="18">
        <v>0.0</v>
      </c>
      <c r="E93" s="18">
        <v>7.0231056508E10</v>
      </c>
      <c r="F93" s="14">
        <v>0.47</v>
      </c>
      <c r="G93" s="14">
        <v>0.8</v>
      </c>
      <c r="H93" s="18">
        <v>2.640687724701E10</v>
      </c>
      <c r="I93" s="14">
        <v>0.42</v>
      </c>
    </row>
    <row r="94">
      <c r="A94" s="14">
        <v>2024.0</v>
      </c>
      <c r="B94" s="14" t="s">
        <v>9</v>
      </c>
      <c r="C94" s="14">
        <v>79.71</v>
      </c>
      <c r="D94" s="18">
        <v>0.0</v>
      </c>
      <c r="E94" s="18">
        <v>4.2803743061103E11</v>
      </c>
      <c r="F94" s="14">
        <v>0.17</v>
      </c>
      <c r="G94" s="14">
        <v>1.0</v>
      </c>
      <c r="H94" s="18">
        <v>7.276636320388E10</v>
      </c>
      <c r="I94" s="14">
        <v>1.17</v>
      </c>
    </row>
    <row r="95">
      <c r="A95" s="14">
        <v>2024.0</v>
      </c>
      <c r="B95" s="14" t="s">
        <v>31</v>
      </c>
      <c r="C95" s="14">
        <v>3978.0</v>
      </c>
      <c r="D95" s="18">
        <v>0.0</v>
      </c>
      <c r="E95" s="18">
        <v>1.50946719651E12</v>
      </c>
      <c r="F95" s="14">
        <v>0.15</v>
      </c>
      <c r="G95" s="14">
        <v>1.0</v>
      </c>
      <c r="H95" s="18">
        <v>2.264200794765E11</v>
      </c>
      <c r="I95" s="14">
        <v>3.63</v>
      </c>
    </row>
    <row r="96">
      <c r="A96" s="14">
        <v>2023.0</v>
      </c>
      <c r="B96" s="14" t="s">
        <v>37</v>
      </c>
      <c r="C96" s="14">
        <v>16.07</v>
      </c>
      <c r="D96" s="19">
        <v>1.8528E9</v>
      </c>
      <c r="E96" s="18">
        <v>1.550755E11</v>
      </c>
      <c r="F96" s="14">
        <v>0.32</v>
      </c>
      <c r="G96" s="14">
        <v>0.6</v>
      </c>
      <c r="H96" s="18">
        <v>2.9774496E10</v>
      </c>
      <c r="I96" s="14">
        <v>0.54</v>
      </c>
    </row>
    <row r="97">
      <c r="A97" s="14">
        <v>2023.0</v>
      </c>
      <c r="B97" s="14" t="s">
        <v>39</v>
      </c>
      <c r="C97" s="14">
        <v>34.93</v>
      </c>
      <c r="D97" s="19">
        <v>7.95154243E8</v>
      </c>
      <c r="E97" s="18">
        <v>1.3887368853995E11</v>
      </c>
      <c r="F97" s="14">
        <v>0.25</v>
      </c>
      <c r="G97" s="14">
        <v>0.8</v>
      </c>
      <c r="H97" s="18">
        <v>2.777473770799E10</v>
      </c>
      <c r="I97" s="14">
        <v>0.51</v>
      </c>
    </row>
    <row r="98">
      <c r="A98" s="14">
        <v>2023.0</v>
      </c>
      <c r="B98" s="14" t="s">
        <v>163</v>
      </c>
      <c r="C98" s="14">
        <v>1349.0</v>
      </c>
      <c r="D98" s="19">
        <v>0.0</v>
      </c>
      <c r="E98" s="18">
        <v>1.84363331085E11</v>
      </c>
      <c r="F98" s="14">
        <v>0.25</v>
      </c>
      <c r="G98" s="14">
        <v>1.0</v>
      </c>
      <c r="H98" s="18">
        <v>4.609083277125E10</v>
      </c>
      <c r="I98" s="14">
        <v>0.84</v>
      </c>
    </row>
    <row r="99">
      <c r="A99" s="14">
        <v>2023.0</v>
      </c>
      <c r="B99" s="14" t="s">
        <v>7</v>
      </c>
      <c r="C99" s="14">
        <v>69.63</v>
      </c>
      <c r="D99" s="19">
        <v>0.0</v>
      </c>
      <c r="E99" s="18">
        <v>5.128225568169E11</v>
      </c>
      <c r="F99" s="14">
        <v>0.34</v>
      </c>
      <c r="G99" s="14">
        <v>0.4</v>
      </c>
      <c r="H99" s="18">
        <v>6.97438677271E10</v>
      </c>
      <c r="I99" s="14">
        <v>1.27</v>
      </c>
    </row>
    <row r="100">
      <c r="A100" s="14">
        <v>2023.0</v>
      </c>
      <c r="B100" s="14" t="s">
        <v>4</v>
      </c>
      <c r="C100" s="14">
        <v>8.015</v>
      </c>
      <c r="D100" s="19">
        <v>0.0</v>
      </c>
      <c r="E100" s="18">
        <v>2.6793912457599E11</v>
      </c>
      <c r="F100" s="14">
        <v>0.22</v>
      </c>
      <c r="G100" s="14">
        <v>0.7</v>
      </c>
      <c r="H100" s="18">
        <v>4.12626251847E10</v>
      </c>
      <c r="I100" s="14">
        <v>0.75</v>
      </c>
    </row>
    <row r="101">
      <c r="A101" s="14">
        <v>2023.0</v>
      </c>
      <c r="B101" s="14" t="s">
        <v>96</v>
      </c>
      <c r="C101" s="14">
        <v>1399.8</v>
      </c>
      <c r="D101" s="19">
        <v>0.0</v>
      </c>
      <c r="E101" s="18">
        <v>1.172638580268E12</v>
      </c>
      <c r="F101" s="14">
        <v>0.23</v>
      </c>
      <c r="G101" s="14">
        <v>0.4</v>
      </c>
      <c r="H101" s="18">
        <v>1.0788274938466E11</v>
      </c>
      <c r="I101" s="14">
        <v>1.97</v>
      </c>
    </row>
    <row r="102">
      <c r="A102" s="14">
        <v>2023.0</v>
      </c>
      <c r="B102" s="14" t="s">
        <v>29</v>
      </c>
      <c r="C102" s="14">
        <v>440.2</v>
      </c>
      <c r="D102" s="19">
        <v>0.0</v>
      </c>
      <c r="E102" s="18">
        <v>2.812212840192E11</v>
      </c>
      <c r="F102" s="14">
        <v>0.14</v>
      </c>
      <c r="G102" s="14">
        <v>0.6</v>
      </c>
      <c r="H102" s="18">
        <v>2.362258785761E10</v>
      </c>
      <c r="I102" s="14">
        <v>0.43</v>
      </c>
    </row>
    <row r="103">
      <c r="A103" s="14">
        <v>2023.0</v>
      </c>
      <c r="B103" s="14" t="s">
        <v>108</v>
      </c>
      <c r="C103" s="14">
        <v>0.10968</v>
      </c>
      <c r="D103" s="19">
        <v>0.0</v>
      </c>
      <c r="E103" s="18">
        <v>2.3180430393E11</v>
      </c>
      <c r="F103" s="14">
        <v>0.18</v>
      </c>
      <c r="G103" s="14">
        <v>0.6</v>
      </c>
      <c r="H103" s="18">
        <v>2.503486482444E10</v>
      </c>
      <c r="I103" s="14">
        <v>0.46</v>
      </c>
    </row>
    <row r="104">
      <c r="A104" s="14">
        <v>2023.0</v>
      </c>
      <c r="B104" s="14" t="s">
        <v>166</v>
      </c>
      <c r="C104" s="14">
        <v>2181.5</v>
      </c>
      <c r="D104" s="19">
        <v>0.0</v>
      </c>
      <c r="E104" s="18">
        <v>5.92436220268E11</v>
      </c>
      <c r="F104" s="14">
        <v>0.41</v>
      </c>
      <c r="G104" s="14">
        <v>0.2</v>
      </c>
      <c r="H104" s="18">
        <v>4.857977006198E10</v>
      </c>
      <c r="I104" s="14">
        <v>0.89</v>
      </c>
    </row>
    <row r="105">
      <c r="A105" s="14">
        <v>2023.0</v>
      </c>
      <c r="B105" s="14" t="s">
        <v>134</v>
      </c>
      <c r="C105" s="14">
        <v>145.14</v>
      </c>
      <c r="D105" s="19">
        <v>0.0</v>
      </c>
      <c r="E105" s="18">
        <v>3.4470661479114E11</v>
      </c>
      <c r="F105" s="14">
        <v>0.16</v>
      </c>
      <c r="G105" s="14">
        <v>0.7</v>
      </c>
      <c r="H105" s="18">
        <v>3.860714085661E10</v>
      </c>
      <c r="I105" s="14">
        <v>0.7</v>
      </c>
    </row>
    <row r="106">
      <c r="A106" s="14">
        <v>2023.0</v>
      </c>
      <c r="B106" s="14" t="s">
        <v>43</v>
      </c>
      <c r="C106" s="14">
        <v>159.89</v>
      </c>
      <c r="D106" s="19">
        <v>0.0</v>
      </c>
      <c r="E106" s="18">
        <v>3.785157977581E12</v>
      </c>
      <c r="F106" s="14">
        <v>0.5</v>
      </c>
      <c r="G106" s="14">
        <v>0.3351976</v>
      </c>
      <c r="H106" s="18">
        <v>6.34387934853E11</v>
      </c>
      <c r="I106" s="14">
        <v>11.56</v>
      </c>
    </row>
    <row r="107">
      <c r="A107" s="14">
        <v>2023.0</v>
      </c>
      <c r="B107" s="14" t="s">
        <v>168</v>
      </c>
      <c r="C107" s="14">
        <v>637.25</v>
      </c>
      <c r="D107" s="19">
        <v>0.0</v>
      </c>
      <c r="E107" s="18">
        <v>1.13902648721E11</v>
      </c>
      <c r="F107" s="14">
        <v>0.57</v>
      </c>
      <c r="G107" s="14">
        <v>0.2</v>
      </c>
      <c r="H107" s="18">
        <v>1.298490195419E10</v>
      </c>
      <c r="I107" s="14">
        <v>0.24</v>
      </c>
    </row>
    <row r="108">
      <c r="A108" s="14">
        <v>2023.0</v>
      </c>
      <c r="B108" s="14" t="s">
        <v>45</v>
      </c>
      <c r="C108" s="14">
        <v>16170.0</v>
      </c>
      <c r="D108" s="19">
        <v>0.0</v>
      </c>
      <c r="E108" s="18">
        <v>2.47180112949E12</v>
      </c>
      <c r="F108" s="14">
        <v>0.37</v>
      </c>
      <c r="G108" s="14">
        <v>0.418997</v>
      </c>
      <c r="H108" s="18">
        <v>3.8320058540495E11</v>
      </c>
      <c r="I108" s="14">
        <v>6.98</v>
      </c>
    </row>
    <row r="109">
      <c r="A109" s="14">
        <v>2023.0</v>
      </c>
      <c r="B109" s="14" t="s">
        <v>106</v>
      </c>
      <c r="C109" s="14">
        <v>0.7117</v>
      </c>
      <c r="D109" s="19">
        <v>0.0</v>
      </c>
      <c r="E109" s="18">
        <v>3.1655944643794E11</v>
      </c>
      <c r="F109" s="14">
        <v>0.15</v>
      </c>
      <c r="G109" s="14">
        <v>0.3</v>
      </c>
      <c r="H109" s="18">
        <v>1.424517508971E10</v>
      </c>
      <c r="I109" s="14">
        <v>0.26</v>
      </c>
    </row>
    <row r="110">
      <c r="A110" s="14">
        <v>2023.0</v>
      </c>
      <c r="B110" s="14" t="s">
        <v>59</v>
      </c>
      <c r="C110" s="14">
        <v>3.9625</v>
      </c>
      <c r="D110" s="19">
        <v>2.1924E10</v>
      </c>
      <c r="E110" s="18">
        <v>4.13685E11</v>
      </c>
      <c r="F110" s="14">
        <v>0.35</v>
      </c>
      <c r="G110" s="14">
        <v>0.6</v>
      </c>
      <c r="H110" s="18">
        <v>8.687385E10</v>
      </c>
      <c r="I110" s="14">
        <v>1.58</v>
      </c>
    </row>
    <row r="111">
      <c r="A111" s="14">
        <v>2023.0</v>
      </c>
      <c r="B111" s="14" t="s">
        <v>78</v>
      </c>
      <c r="C111" s="14">
        <v>6768.0</v>
      </c>
      <c r="D111" s="19">
        <v>0.0</v>
      </c>
      <c r="E111" s="18">
        <v>4.689315477216E12</v>
      </c>
      <c r="F111" s="14">
        <v>0.55</v>
      </c>
      <c r="G111" s="14">
        <v>0.30279</v>
      </c>
      <c r="H111" s="18">
        <v>7.809328083405E11</v>
      </c>
      <c r="I111" s="14">
        <v>14.23</v>
      </c>
    </row>
    <row r="112">
      <c r="A112" s="14">
        <v>2023.0</v>
      </c>
      <c r="B112" s="14" t="s">
        <v>69</v>
      </c>
      <c r="C112" s="14">
        <v>52.15</v>
      </c>
      <c r="D112" s="19">
        <v>1.3409196E9</v>
      </c>
      <c r="E112" s="18">
        <v>5.827413095E11</v>
      </c>
      <c r="F112" s="14">
        <v>0.2</v>
      </c>
      <c r="G112" s="14">
        <v>0.6</v>
      </c>
      <c r="H112" s="18">
        <v>6.992895714E10</v>
      </c>
      <c r="I112" s="14">
        <v>1.27</v>
      </c>
    </row>
    <row r="113">
      <c r="A113" s="14">
        <v>2023.0</v>
      </c>
      <c r="B113" s="14" t="s">
        <v>147</v>
      </c>
      <c r="C113" s="14">
        <v>6990.0</v>
      </c>
      <c r="D113" s="19">
        <v>0.0</v>
      </c>
      <c r="E113" s="18">
        <v>7.1236037145E11</v>
      </c>
      <c r="F113" s="14">
        <v>0.37</v>
      </c>
      <c r="G113" s="14">
        <v>0.4</v>
      </c>
      <c r="H113" s="18">
        <v>1.054293349746E11</v>
      </c>
      <c r="I113" s="14">
        <v>1.92</v>
      </c>
    </row>
    <row r="114">
      <c r="A114" s="14">
        <v>2023.0</v>
      </c>
      <c r="B114" s="14" t="s">
        <v>76</v>
      </c>
      <c r="C114" s="14">
        <v>189.13</v>
      </c>
      <c r="D114" s="19">
        <v>0.0</v>
      </c>
      <c r="E114" s="18">
        <v>4.3053580775154E11</v>
      </c>
      <c r="F114" s="14">
        <v>0.64</v>
      </c>
      <c r="G114" s="14">
        <v>0.2</v>
      </c>
      <c r="H114" s="18">
        <v>5.51085833922E10</v>
      </c>
      <c r="I114" s="14">
        <v>1.0</v>
      </c>
    </row>
    <row r="115">
      <c r="A115" s="14">
        <v>2023.0</v>
      </c>
      <c r="B115" s="14" t="s">
        <v>126</v>
      </c>
      <c r="C115" s="14">
        <v>3.089</v>
      </c>
      <c r="D115" s="19">
        <v>6.359897552E9</v>
      </c>
      <c r="E115" s="18">
        <v>1.227857721133E11</v>
      </c>
      <c r="F115" s="14">
        <v>0.2</v>
      </c>
      <c r="G115" s="14">
        <v>0.8</v>
      </c>
      <c r="H115" s="18">
        <v>1.964572353813E10</v>
      </c>
      <c r="I115" s="14">
        <v>0.36</v>
      </c>
    </row>
    <row r="116">
      <c r="A116" s="14">
        <v>2023.0</v>
      </c>
      <c r="B116" s="14" t="s">
        <v>71</v>
      </c>
      <c r="C116" s="14">
        <v>311.39</v>
      </c>
      <c r="D116" s="19">
        <v>0.0</v>
      </c>
      <c r="E116" s="18">
        <v>1.2962254728555E11</v>
      </c>
      <c r="F116" s="14">
        <v>0.43</v>
      </c>
      <c r="G116" s="14">
        <v>0.6</v>
      </c>
      <c r="H116" s="18">
        <v>3.344261719967E10</v>
      </c>
      <c r="I116" s="14">
        <v>0.61</v>
      </c>
    </row>
    <row r="117">
      <c r="A117" s="14">
        <v>2023.0</v>
      </c>
      <c r="B117" s="14" t="s">
        <v>72</v>
      </c>
      <c r="C117" s="14">
        <v>368.6</v>
      </c>
      <c r="D117" s="19">
        <v>0.0</v>
      </c>
      <c r="E117" s="18">
        <v>5.1145798869E10</v>
      </c>
      <c r="F117" s="14">
        <v>0.6</v>
      </c>
      <c r="G117" s="14">
        <v>0.8</v>
      </c>
      <c r="H117" s="18">
        <v>2.454998345712E10</v>
      </c>
      <c r="I117" s="14">
        <v>0.45</v>
      </c>
    </row>
    <row r="118">
      <c r="A118" s="14">
        <v>2023.0</v>
      </c>
      <c r="B118" s="14" t="s">
        <v>74</v>
      </c>
      <c r="C118" s="14">
        <v>249.5</v>
      </c>
      <c r="D118" s="19">
        <v>0.0</v>
      </c>
      <c r="E118" s="18">
        <v>4.985962029625E11</v>
      </c>
      <c r="F118" s="14">
        <v>0.41</v>
      </c>
      <c r="G118" s="14">
        <v>0.3</v>
      </c>
      <c r="H118" s="18">
        <v>6.132733296439E10</v>
      </c>
      <c r="I118" s="14">
        <v>1.12</v>
      </c>
    </row>
    <row r="119">
      <c r="A119" s="14">
        <v>2023.0</v>
      </c>
      <c r="B119" s="14" t="s">
        <v>82</v>
      </c>
      <c r="C119" s="14">
        <v>179.5</v>
      </c>
      <c r="D119" s="19">
        <v>0.0</v>
      </c>
      <c r="E119" s="18">
        <v>1.07578428958E12</v>
      </c>
      <c r="F119" s="14">
        <v>0.21</v>
      </c>
      <c r="G119" s="14">
        <v>0.4</v>
      </c>
      <c r="H119" s="18">
        <v>9.036588032472E10</v>
      </c>
      <c r="I119" s="14">
        <v>1.65</v>
      </c>
    </row>
    <row r="120">
      <c r="A120" s="14">
        <v>2023.0</v>
      </c>
      <c r="B120" s="14" t="s">
        <v>130</v>
      </c>
      <c r="C120" s="14">
        <v>1464.4</v>
      </c>
      <c r="D120" s="19">
        <v>1.27524852E8</v>
      </c>
      <c r="E120" s="18">
        <v>4.4463665064E12</v>
      </c>
      <c r="F120" s="14">
        <v>0.21</v>
      </c>
      <c r="G120" s="14">
        <v>0.2</v>
      </c>
      <c r="H120" s="18">
        <v>1.867473932688E11</v>
      </c>
      <c r="I120" s="14">
        <v>3.4</v>
      </c>
    </row>
    <row r="121">
      <c r="A121" s="14">
        <v>2023.0</v>
      </c>
      <c r="B121" s="14" t="s">
        <v>17</v>
      </c>
      <c r="C121" s="14">
        <v>2818.0</v>
      </c>
      <c r="D121" s="19">
        <v>0.0</v>
      </c>
      <c r="E121" s="18">
        <v>6.09853899594E11</v>
      </c>
      <c r="F121" s="14">
        <v>0.4</v>
      </c>
      <c r="G121" s="14">
        <v>0.2</v>
      </c>
      <c r="H121" s="18">
        <v>4.878831196752E10</v>
      </c>
      <c r="I121" s="14">
        <v>0.89</v>
      </c>
    </row>
    <row r="122">
      <c r="A122" s="14">
        <v>2023.0</v>
      </c>
      <c r="B122" s="14" t="s">
        <v>112</v>
      </c>
      <c r="C122" s="14">
        <v>6600.0</v>
      </c>
      <c r="D122" s="19">
        <v>6734000.0</v>
      </c>
      <c r="E122" s="18">
        <v>8.547E11</v>
      </c>
      <c r="F122" s="14">
        <v>0.26</v>
      </c>
      <c r="G122" s="14">
        <v>0.2</v>
      </c>
      <c r="H122" s="18">
        <v>4.44444E10</v>
      </c>
      <c r="I122" s="14">
        <v>0.81</v>
      </c>
    </row>
    <row r="123">
      <c r="A123" s="14">
        <v>2023.0</v>
      </c>
      <c r="B123" s="14" t="s">
        <v>86</v>
      </c>
      <c r="C123" s="14">
        <v>678.6</v>
      </c>
      <c r="D123" s="19">
        <v>0.0</v>
      </c>
      <c r="E123" s="18">
        <v>4.482134976384E11</v>
      </c>
      <c r="F123" s="14">
        <v>0.21</v>
      </c>
      <c r="G123" s="14">
        <v>1.0</v>
      </c>
      <c r="H123" s="18">
        <v>9.412483450406E10</v>
      </c>
      <c r="I123" s="14">
        <v>1.71</v>
      </c>
    </row>
    <row r="124">
      <c r="A124" s="14">
        <v>2023.0</v>
      </c>
      <c r="B124" s="14" t="s">
        <v>88</v>
      </c>
      <c r="C124" s="14">
        <v>10677.5</v>
      </c>
      <c r="D124" s="19">
        <v>0.0</v>
      </c>
      <c r="E124" s="18">
        <v>1.4528810185E12</v>
      </c>
      <c r="F124" s="14">
        <v>0.22</v>
      </c>
      <c r="G124" s="14">
        <v>0.4</v>
      </c>
      <c r="H124" s="18">
        <v>1.27853529628E11</v>
      </c>
      <c r="I124" s="14">
        <v>2.33</v>
      </c>
    </row>
    <row r="125">
      <c r="A125" s="14">
        <v>2023.0</v>
      </c>
      <c r="B125" s="14" t="s">
        <v>157</v>
      </c>
      <c r="C125" s="14">
        <v>510.1</v>
      </c>
      <c r="D125" s="19">
        <v>0.0</v>
      </c>
      <c r="E125" s="18">
        <v>2.415967445139E11</v>
      </c>
      <c r="F125" s="14">
        <v>0.72</v>
      </c>
      <c r="G125" s="14">
        <v>0.1</v>
      </c>
      <c r="H125" s="18">
        <v>1.7394965605E10</v>
      </c>
      <c r="I125" s="14">
        <v>0.32</v>
      </c>
    </row>
    <row r="126">
      <c r="A126" s="14">
        <v>2023.0</v>
      </c>
      <c r="B126" s="14" t="s">
        <v>51</v>
      </c>
      <c r="C126" s="14">
        <v>2013.4</v>
      </c>
      <c r="D126" s="19">
        <v>8580000.0</v>
      </c>
      <c r="E126" s="18">
        <v>1.328844E11</v>
      </c>
      <c r="F126" s="14">
        <v>0.13</v>
      </c>
      <c r="G126" s="14">
        <v>1.0</v>
      </c>
      <c r="H126" s="18">
        <v>1.7274972E10</v>
      </c>
      <c r="I126" s="14">
        <v>0.31</v>
      </c>
    </row>
    <row r="127">
      <c r="A127" s="14">
        <v>2023.0</v>
      </c>
      <c r="B127" s="14" t="s">
        <v>167</v>
      </c>
      <c r="C127" s="14">
        <v>568.0</v>
      </c>
      <c r="D127" s="19">
        <v>0.0</v>
      </c>
      <c r="E127" s="18">
        <v>2.9706089304E10</v>
      </c>
      <c r="F127" s="14">
        <v>0.59</v>
      </c>
      <c r="G127" s="14">
        <v>1.0</v>
      </c>
      <c r="H127" s="18">
        <v>1.752659268936E10</v>
      </c>
      <c r="I127" s="14">
        <v>0.32</v>
      </c>
    </row>
    <row r="128">
      <c r="A128" s="14">
        <v>2023.0</v>
      </c>
      <c r="B128" s="14" t="s">
        <v>132</v>
      </c>
      <c r="C128" s="14">
        <v>594.5</v>
      </c>
      <c r="D128" s="19">
        <v>0.0</v>
      </c>
      <c r="E128" s="18">
        <v>6.3006167122065E12</v>
      </c>
      <c r="F128" s="14">
        <v>0.11</v>
      </c>
      <c r="G128" s="14">
        <v>0.2</v>
      </c>
      <c r="H128" s="18">
        <v>1.3861356766854E11</v>
      </c>
      <c r="I128" s="14">
        <v>2.53</v>
      </c>
    </row>
    <row r="129">
      <c r="A129" s="14">
        <v>2023.0</v>
      </c>
      <c r="B129" s="14" t="s">
        <v>90</v>
      </c>
      <c r="C129" s="14">
        <v>68.27</v>
      </c>
      <c r="D129" s="19">
        <v>0.0</v>
      </c>
      <c r="E129" s="18">
        <v>2.2413026861283E11</v>
      </c>
      <c r="F129" s="14">
        <v>0.29</v>
      </c>
      <c r="G129" s="14">
        <v>0.7</v>
      </c>
      <c r="H129" s="18">
        <v>4.54984445284E10</v>
      </c>
      <c r="I129" s="14">
        <v>0.83</v>
      </c>
    </row>
    <row r="130">
      <c r="A130" s="14">
        <v>2023.0</v>
      </c>
      <c r="B130" s="14" t="s">
        <v>21</v>
      </c>
      <c r="C130" s="14">
        <v>34.225</v>
      </c>
      <c r="D130" s="19">
        <v>0.0</v>
      </c>
      <c r="E130" s="18">
        <v>5.1998093365195E11</v>
      </c>
      <c r="F130" s="14">
        <v>0.18</v>
      </c>
      <c r="G130" s="14">
        <v>1.0</v>
      </c>
      <c r="H130" s="18">
        <v>9.359656805735E10</v>
      </c>
      <c r="I130" s="14">
        <v>1.71</v>
      </c>
    </row>
    <row r="131">
      <c r="A131" s="14">
        <v>2023.0</v>
      </c>
      <c r="B131" s="14" t="s">
        <v>93</v>
      </c>
      <c r="C131" s="14">
        <v>271.8</v>
      </c>
      <c r="D131" s="19">
        <v>0.0</v>
      </c>
      <c r="E131" s="18">
        <v>5.8673324664E12</v>
      </c>
      <c r="F131" s="14">
        <v>0.48</v>
      </c>
      <c r="G131" s="14">
        <v>0.2454392</v>
      </c>
      <c r="H131" s="18">
        <v>6.9123522560989E11</v>
      </c>
      <c r="I131" s="14">
        <v>12.59</v>
      </c>
    </row>
    <row r="132">
      <c r="A132" s="14">
        <v>2023.0</v>
      </c>
      <c r="B132" s="14" t="s">
        <v>94</v>
      </c>
      <c r="C132" s="14">
        <v>272.54</v>
      </c>
      <c r="D132" s="19">
        <v>4.908784E8</v>
      </c>
      <c r="E132" s="18">
        <v>2.7254E11</v>
      </c>
      <c r="F132" s="14">
        <v>1.0</v>
      </c>
      <c r="G132" s="14">
        <v>0.4908784</v>
      </c>
      <c r="H132" s="18">
        <v>1.33783999136E11</v>
      </c>
      <c r="I132" s="14">
        <v>2.44</v>
      </c>
    </row>
    <row r="133">
      <c r="A133" s="14">
        <v>2023.0</v>
      </c>
      <c r="B133" s="14" t="s">
        <v>98</v>
      </c>
      <c r="C133" s="14">
        <v>63.74</v>
      </c>
      <c r="D133" s="19">
        <v>2.575E8</v>
      </c>
      <c r="E133" s="18">
        <v>6.56522E10</v>
      </c>
      <c r="F133" s="14">
        <v>0.25</v>
      </c>
      <c r="G133" s="14">
        <v>1.0</v>
      </c>
      <c r="H133" s="18">
        <v>1.641305E10</v>
      </c>
      <c r="I133" s="14">
        <v>0.3</v>
      </c>
    </row>
    <row r="134">
      <c r="A134" s="14">
        <v>2023.0</v>
      </c>
      <c r="B134" s="14" t="s">
        <v>122</v>
      </c>
      <c r="C134" s="14">
        <v>3.725</v>
      </c>
      <c r="D134" s="19">
        <v>3.53025E9</v>
      </c>
      <c r="E134" s="18">
        <v>5.844525E10</v>
      </c>
      <c r="F134" s="14">
        <v>0.25</v>
      </c>
      <c r="G134" s="14">
        <v>1.0</v>
      </c>
      <c r="H134" s="18">
        <v>1.315018115E10</v>
      </c>
      <c r="I134" s="14">
        <v>0.24</v>
      </c>
    </row>
    <row r="135">
      <c r="A135" s="14">
        <v>2023.0</v>
      </c>
      <c r="B135" s="14" t="s">
        <v>128</v>
      </c>
      <c r="C135" s="14">
        <v>3877.0</v>
      </c>
      <c r="D135" s="19">
        <v>0.0</v>
      </c>
      <c r="E135" s="18">
        <v>2.38743170966E11</v>
      </c>
      <c r="F135" s="14">
        <v>0.1</v>
      </c>
      <c r="G135" s="14">
        <v>0.9</v>
      </c>
      <c r="H135" s="18">
        <v>2.148688538694E10</v>
      </c>
      <c r="I135" s="14">
        <v>0.39</v>
      </c>
    </row>
    <row r="136">
      <c r="A136" s="14">
        <v>2023.0</v>
      </c>
      <c r="B136" s="14" t="s">
        <v>141</v>
      </c>
      <c r="C136" s="14">
        <v>26.95</v>
      </c>
      <c r="D136" s="19">
        <v>0.0</v>
      </c>
      <c r="E136" s="18">
        <v>9.6281555729975E11</v>
      </c>
      <c r="F136" s="14">
        <v>0.25</v>
      </c>
      <c r="G136" s="14">
        <v>0.6810729</v>
      </c>
      <c r="H136" s="18">
        <v>1.6393689594381E11</v>
      </c>
      <c r="I136" s="14">
        <v>2.99</v>
      </c>
    </row>
    <row r="137">
      <c r="A137" s="14">
        <v>2023.0</v>
      </c>
      <c r="B137" s="14" t="s">
        <v>142</v>
      </c>
      <c r="C137" s="14">
        <v>55.535</v>
      </c>
      <c r="D137" s="19">
        <v>0.0</v>
      </c>
      <c r="E137" s="18">
        <v>4.2773047198073E11</v>
      </c>
      <c r="F137" s="14">
        <v>0.73</v>
      </c>
      <c r="G137" s="14">
        <v>0.4864807</v>
      </c>
      <c r="H137" s="18">
        <v>1.5190031217697E11</v>
      </c>
      <c r="I137" s="14">
        <v>2.77</v>
      </c>
    </row>
    <row r="138">
      <c r="A138" s="14">
        <v>2023.0</v>
      </c>
      <c r="B138" s="14" t="s">
        <v>136</v>
      </c>
      <c r="C138" s="14">
        <v>711.3</v>
      </c>
      <c r="D138" s="19">
        <v>0.0</v>
      </c>
      <c r="E138" s="18">
        <v>1.54970269491E12</v>
      </c>
      <c r="F138" s="14">
        <v>0.32</v>
      </c>
      <c r="G138" s="14">
        <v>0.6703952</v>
      </c>
      <c r="H138" s="18">
        <v>3.3245223939032E11</v>
      </c>
      <c r="I138" s="14">
        <v>6.06</v>
      </c>
    </row>
    <row r="139">
      <c r="A139" s="14">
        <v>2023.0</v>
      </c>
      <c r="B139" s="14" t="s">
        <v>137</v>
      </c>
      <c r="C139" s="14">
        <v>708.0</v>
      </c>
      <c r="D139" s="19">
        <v>0.0</v>
      </c>
      <c r="E139" s="18">
        <v>1.04436018E11</v>
      </c>
      <c r="F139" s="14">
        <v>1.0</v>
      </c>
      <c r="G139" s="14">
        <v>0.5865958</v>
      </c>
      <c r="H139" s="18">
        <v>6.126172952752E10</v>
      </c>
      <c r="I139" s="14">
        <v>1.12</v>
      </c>
    </row>
    <row r="140">
      <c r="A140" s="14">
        <v>2023.0</v>
      </c>
      <c r="B140" s="14" t="s">
        <v>180</v>
      </c>
      <c r="C140" s="14">
        <v>3222.0</v>
      </c>
      <c r="D140" s="19">
        <v>0.0</v>
      </c>
      <c r="E140" s="18">
        <v>6.42162295224E11</v>
      </c>
      <c r="F140" s="14">
        <v>0.58</v>
      </c>
      <c r="G140" s="14">
        <v>0.1</v>
      </c>
      <c r="H140" s="18">
        <v>3.724541312299E10</v>
      </c>
      <c r="I140" s="14">
        <v>0.68</v>
      </c>
    </row>
    <row r="141">
      <c r="A141" s="14">
        <v>2023.0</v>
      </c>
      <c r="B141" s="14" t="s">
        <v>104</v>
      </c>
      <c r="C141" s="14">
        <v>145000.0</v>
      </c>
      <c r="D141" s="19">
        <v>0.0</v>
      </c>
      <c r="E141" s="18">
        <v>2.25456875E11</v>
      </c>
      <c r="F141" s="14">
        <v>0.37</v>
      </c>
      <c r="G141" s="14">
        <v>0.4</v>
      </c>
      <c r="H141" s="18">
        <v>3.33676175E10</v>
      </c>
      <c r="I141" s="14">
        <v>0.61</v>
      </c>
    </row>
    <row r="142">
      <c r="A142" s="14">
        <v>2023.0</v>
      </c>
      <c r="B142" s="14" t="s">
        <v>118</v>
      </c>
      <c r="C142" s="14">
        <v>1.999</v>
      </c>
      <c r="D142" s="19">
        <v>0.0</v>
      </c>
      <c r="E142" s="18">
        <v>1.2603436358386E11</v>
      </c>
      <c r="F142" s="14">
        <v>0.16</v>
      </c>
      <c r="G142" s="14">
        <v>0.8</v>
      </c>
      <c r="H142" s="18">
        <v>1.613239853873E10</v>
      </c>
      <c r="I142" s="14">
        <v>0.29</v>
      </c>
    </row>
    <row r="143">
      <c r="A143" s="14">
        <v>2023.0</v>
      </c>
      <c r="B143" s="14" t="s">
        <v>15</v>
      </c>
      <c r="C143" s="14">
        <v>560.2</v>
      </c>
      <c r="D143" s="19">
        <v>0.0</v>
      </c>
      <c r="E143" s="18">
        <v>1.266874272764E11</v>
      </c>
      <c r="F143" s="14">
        <v>0.53</v>
      </c>
      <c r="G143" s="14">
        <v>0.3</v>
      </c>
      <c r="H143" s="18">
        <v>2.014330093695E10</v>
      </c>
      <c r="I143" s="14">
        <v>0.37</v>
      </c>
    </row>
    <row r="144">
      <c r="A144" s="14">
        <v>2023.0</v>
      </c>
      <c r="B144" s="14" t="s">
        <v>9</v>
      </c>
      <c r="C144" s="14">
        <v>0.02278</v>
      </c>
      <c r="D144" s="19">
        <v>0.0</v>
      </c>
      <c r="E144" s="18">
        <v>6.115012220697E11</v>
      </c>
      <c r="F144" s="14">
        <v>0.17</v>
      </c>
      <c r="G144" s="14">
        <v>0.5</v>
      </c>
      <c r="H144" s="18">
        <v>5.197760387592E10</v>
      </c>
      <c r="I144" s="14">
        <v>0.95</v>
      </c>
    </row>
    <row r="145">
      <c r="A145" s="14">
        <v>2023.0</v>
      </c>
      <c r="B145" s="14" t="s">
        <v>181</v>
      </c>
      <c r="C145" s="14">
        <v>2549.0</v>
      </c>
      <c r="D145" s="19">
        <v>0.0</v>
      </c>
      <c r="E145" s="18">
        <v>8.3184644623E11</v>
      </c>
      <c r="F145" s="14">
        <v>0.98</v>
      </c>
      <c r="G145" s="14">
        <v>0.1</v>
      </c>
      <c r="H145" s="18">
        <v>8.152095173054E10</v>
      </c>
      <c r="I145" s="14">
        <v>1.49</v>
      </c>
    </row>
    <row r="146">
      <c r="A146" s="14">
        <v>2022.0</v>
      </c>
      <c r="B146" s="14" t="s">
        <v>37</v>
      </c>
      <c r="C146" s="14">
        <v>11.93</v>
      </c>
      <c r="D146" s="19">
        <v>3.088E9</v>
      </c>
      <c r="E146" s="18">
        <v>1.151245E11</v>
      </c>
      <c r="F146" s="14">
        <v>0.32</v>
      </c>
      <c r="G146" s="14">
        <v>1.0</v>
      </c>
      <c r="H146" s="18">
        <v>3.683984E10</v>
      </c>
      <c r="I146" s="14">
        <v>0.35</v>
      </c>
    </row>
    <row r="147">
      <c r="A147" s="14">
        <v>2022.0</v>
      </c>
      <c r="B147" s="14" t="s">
        <v>39</v>
      </c>
      <c r="C147" s="14">
        <v>24.6</v>
      </c>
      <c r="D147" s="19">
        <v>0.0</v>
      </c>
      <c r="E147" s="18">
        <v>9.7803971889E10</v>
      </c>
      <c r="F147" s="14">
        <v>0.25</v>
      </c>
      <c r="G147" s="14">
        <v>1.0</v>
      </c>
      <c r="H147" s="18">
        <v>2.445099297225E10</v>
      </c>
      <c r="I147" s="14">
        <v>0.23</v>
      </c>
    </row>
    <row r="148">
      <c r="A148" s="14">
        <v>2022.0</v>
      </c>
      <c r="B148" s="14" t="s">
        <v>7</v>
      </c>
      <c r="C148" s="14">
        <v>59.0</v>
      </c>
      <c r="D148" s="19">
        <v>0.0</v>
      </c>
      <c r="E148" s="18">
        <v>4.3453297217E11</v>
      </c>
      <c r="F148" s="14">
        <v>0.34</v>
      </c>
      <c r="G148" s="14">
        <v>1.0</v>
      </c>
      <c r="H148" s="18">
        <v>1.477412105378E11</v>
      </c>
      <c r="I148" s="14">
        <v>1.41</v>
      </c>
    </row>
    <row r="149">
      <c r="A149" s="14">
        <v>2022.0</v>
      </c>
      <c r="B149" s="14" t="s">
        <v>4</v>
      </c>
      <c r="C149" s="14">
        <v>6.722</v>
      </c>
      <c r="D149" s="19">
        <v>0.0</v>
      </c>
      <c r="E149" s="18">
        <v>2.2471450971925E11</v>
      </c>
      <c r="F149" s="14">
        <v>0.22</v>
      </c>
      <c r="G149" s="14">
        <v>1.0</v>
      </c>
      <c r="H149" s="18">
        <v>4.943719213824E10</v>
      </c>
      <c r="I149" s="14">
        <v>0.47</v>
      </c>
    </row>
    <row r="150">
      <c r="A150" s="14">
        <v>2022.0</v>
      </c>
      <c r="B150" s="14" t="s">
        <v>96</v>
      </c>
      <c r="C150" s="14">
        <v>901.8</v>
      </c>
      <c r="D150" s="19">
        <v>0.0</v>
      </c>
      <c r="E150" s="18">
        <v>7.55454687588E11</v>
      </c>
      <c r="F150" s="14">
        <v>0.23</v>
      </c>
      <c r="G150" s="14">
        <v>1.0</v>
      </c>
      <c r="H150" s="18">
        <v>1.7375457814524E11</v>
      </c>
      <c r="I150" s="14">
        <v>1.66</v>
      </c>
    </row>
    <row r="151">
      <c r="A151" s="14">
        <v>2022.0</v>
      </c>
      <c r="B151" s="14" t="s">
        <v>164</v>
      </c>
      <c r="C151" s="14">
        <v>67.0</v>
      </c>
      <c r="D151" s="19">
        <v>3.9906E8</v>
      </c>
      <c r="E151" s="18">
        <v>4.9513E10</v>
      </c>
      <c r="F151" s="14">
        <v>0.54</v>
      </c>
      <c r="G151" s="14">
        <v>1.0</v>
      </c>
      <c r="H151" s="18">
        <v>2.673702E10</v>
      </c>
      <c r="I151" s="14">
        <v>0.25</v>
      </c>
    </row>
    <row r="152">
      <c r="A152" s="14">
        <v>2022.0</v>
      </c>
      <c r="B152" s="14" t="s">
        <v>29</v>
      </c>
      <c r="C152" s="14">
        <v>374.5</v>
      </c>
      <c r="D152" s="19">
        <v>0.0</v>
      </c>
      <c r="E152" s="18">
        <v>2.39248911552E11</v>
      </c>
      <c r="F152" s="14">
        <v>0.14</v>
      </c>
      <c r="G152" s="14">
        <v>1.0</v>
      </c>
      <c r="H152" s="18">
        <v>3.349484761728E10</v>
      </c>
      <c r="I152" s="14">
        <v>0.32</v>
      </c>
    </row>
    <row r="153">
      <c r="A153" s="14">
        <v>2022.0</v>
      </c>
      <c r="B153" s="14" t="s">
        <v>166</v>
      </c>
      <c r="C153" s="14">
        <v>1506.0</v>
      </c>
      <c r="D153" s="19">
        <v>0.0</v>
      </c>
      <c r="E153" s="18">
        <v>4.08988745232E11</v>
      </c>
      <c r="F153" s="14">
        <v>0.41</v>
      </c>
      <c r="G153" s="14">
        <v>1.0</v>
      </c>
      <c r="H153" s="18">
        <v>1.6768538554512E11</v>
      </c>
      <c r="I153" s="14">
        <v>1.6</v>
      </c>
    </row>
    <row r="154">
      <c r="A154" s="14">
        <v>2022.0</v>
      </c>
      <c r="B154" s="14" t="s">
        <v>182</v>
      </c>
      <c r="C154" s="14">
        <v>337.2</v>
      </c>
      <c r="D154" s="19">
        <v>1.1475E8</v>
      </c>
      <c r="E154" s="18">
        <v>2.8662E11</v>
      </c>
      <c r="F154" s="14">
        <v>0.27</v>
      </c>
      <c r="G154" s="14">
        <v>0.5</v>
      </c>
      <c r="H154" s="18">
        <v>3.86937E10</v>
      </c>
      <c r="I154" s="14">
        <v>0.37</v>
      </c>
    </row>
    <row r="155">
      <c r="A155" s="14">
        <v>2022.0</v>
      </c>
      <c r="B155" s="14" t="s">
        <v>43</v>
      </c>
      <c r="C155" s="14">
        <v>162.72</v>
      </c>
      <c r="D155" s="19">
        <v>0.0</v>
      </c>
      <c r="E155" s="18">
        <v>3.852154019088E12</v>
      </c>
      <c r="F155" s="14">
        <v>0.5</v>
      </c>
      <c r="G155" s="14">
        <v>0.8015768</v>
      </c>
      <c r="H155" s="18">
        <v>1.54389864586386E12</v>
      </c>
      <c r="I155" s="14">
        <v>14.71</v>
      </c>
    </row>
    <row r="156">
      <c r="A156" s="14">
        <v>2022.0</v>
      </c>
      <c r="B156" s="14" t="s">
        <v>168</v>
      </c>
      <c r="C156" s="14">
        <v>270.25</v>
      </c>
      <c r="D156" s="19">
        <v>0.0</v>
      </c>
      <c r="E156" s="18">
        <v>4.8304732549E10</v>
      </c>
      <c r="F156" s="14">
        <v>0.57</v>
      </c>
      <c r="G156" s="14">
        <v>1.0</v>
      </c>
      <c r="H156" s="18">
        <v>2.753369755293E10</v>
      </c>
      <c r="I156" s="14">
        <v>0.26</v>
      </c>
    </row>
    <row r="157">
      <c r="A157" s="14">
        <v>2022.0</v>
      </c>
      <c r="B157" s="14" t="s">
        <v>45</v>
      </c>
      <c r="C157" s="14">
        <v>15300.0</v>
      </c>
      <c r="D157" s="19">
        <v>0.0</v>
      </c>
      <c r="E157" s="18">
        <v>2.3509157472E12</v>
      </c>
      <c r="F157" s="14">
        <v>0.37</v>
      </c>
      <c r="G157" s="14">
        <v>0.8920187</v>
      </c>
      <c r="H157" s="18">
        <v>7.7591249919189E11</v>
      </c>
      <c r="I157" s="14">
        <v>7.39</v>
      </c>
    </row>
    <row r="158">
      <c r="A158" s="14">
        <v>2022.0</v>
      </c>
      <c r="B158" s="14" t="s">
        <v>106</v>
      </c>
      <c r="C158" s="14">
        <v>0.7607</v>
      </c>
      <c r="D158" s="19">
        <v>0.0</v>
      </c>
      <c r="E158" s="18">
        <v>3.3416707067933E11</v>
      </c>
      <c r="F158" s="14">
        <v>0.15</v>
      </c>
      <c r="G158" s="14">
        <v>1.0</v>
      </c>
      <c r="H158" s="18">
        <v>5.01250606019E10</v>
      </c>
      <c r="I158" s="14">
        <v>0.48</v>
      </c>
    </row>
    <row r="159">
      <c r="A159" s="14">
        <v>2022.0</v>
      </c>
      <c r="B159" s="14" t="s">
        <v>59</v>
      </c>
      <c r="C159" s="14">
        <v>3.4</v>
      </c>
      <c r="D159" s="19">
        <v>3.654E10</v>
      </c>
      <c r="E159" s="18">
        <v>3.5496E11</v>
      </c>
      <c r="F159" s="14">
        <v>0.35</v>
      </c>
      <c r="G159" s="14">
        <v>1.0</v>
      </c>
      <c r="H159" s="18">
        <v>1.24236E11</v>
      </c>
      <c r="I159" s="14">
        <v>1.18</v>
      </c>
    </row>
    <row r="160">
      <c r="A160" s="14">
        <v>2022.0</v>
      </c>
      <c r="B160" s="14" t="s">
        <v>78</v>
      </c>
      <c r="C160" s="14">
        <v>4072.5</v>
      </c>
      <c r="D160" s="19">
        <v>0.0</v>
      </c>
      <c r="E160" s="18">
        <v>2.821695815745E12</v>
      </c>
      <c r="F160" s="14">
        <v>0.55</v>
      </c>
      <c r="G160" s="14">
        <v>0.8920187</v>
      </c>
      <c r="H160" s="18">
        <v>1.38435298834612E12</v>
      </c>
      <c r="I160" s="14">
        <v>13.19</v>
      </c>
    </row>
    <row r="161">
      <c r="A161" s="14">
        <v>2022.0</v>
      </c>
      <c r="B161" s="14" t="s">
        <v>69</v>
      </c>
      <c r="C161" s="14">
        <v>32.915</v>
      </c>
      <c r="D161" s="19">
        <v>2.234866E9</v>
      </c>
      <c r="E161" s="18">
        <v>3.6780307195E11</v>
      </c>
      <c r="F161" s="14">
        <v>0.2</v>
      </c>
      <c r="G161" s="14">
        <v>1.0</v>
      </c>
      <c r="H161" s="18">
        <v>7.356061439E10</v>
      </c>
      <c r="I161" s="14">
        <v>0.7</v>
      </c>
    </row>
    <row r="162">
      <c r="A162" s="14">
        <v>2022.0</v>
      </c>
      <c r="B162" s="14" t="s">
        <v>147</v>
      </c>
      <c r="C162" s="14">
        <v>4361.5</v>
      </c>
      <c r="D162" s="19">
        <v>0.0</v>
      </c>
      <c r="E162" s="18">
        <v>4.444863748325E11</v>
      </c>
      <c r="F162" s="14">
        <v>0.67</v>
      </c>
      <c r="G162" s="14">
        <v>1.0</v>
      </c>
      <c r="H162" s="18">
        <v>2.9780587113778E11</v>
      </c>
      <c r="I162" s="14">
        <v>2.84</v>
      </c>
    </row>
    <row r="163">
      <c r="A163" s="14">
        <v>2022.0</v>
      </c>
      <c r="B163" s="14" t="s">
        <v>76</v>
      </c>
      <c r="C163" s="14">
        <v>94.91</v>
      </c>
      <c r="D163" s="19">
        <v>0.0</v>
      </c>
      <c r="E163" s="18">
        <v>2.1605326237878E11</v>
      </c>
      <c r="F163" s="14">
        <v>0.64</v>
      </c>
      <c r="G163" s="14">
        <v>1.0</v>
      </c>
      <c r="H163" s="18">
        <v>1.3827408792242E11</v>
      </c>
      <c r="I163" s="14">
        <v>1.32</v>
      </c>
    </row>
    <row r="164">
      <c r="A164" s="14">
        <v>2022.0</v>
      </c>
      <c r="B164" s="14" t="s">
        <v>74</v>
      </c>
      <c r="C164" s="14">
        <v>235.6</v>
      </c>
      <c r="D164" s="19">
        <v>0.0</v>
      </c>
      <c r="E164" s="18">
        <v>4.7081869907E11</v>
      </c>
      <c r="F164" s="14">
        <v>0.41</v>
      </c>
      <c r="G164" s="14">
        <v>1.0</v>
      </c>
      <c r="H164" s="18">
        <v>1.930356666187E11</v>
      </c>
      <c r="I164" s="14">
        <v>1.84</v>
      </c>
    </row>
    <row r="165">
      <c r="A165" s="14">
        <v>2022.0</v>
      </c>
      <c r="B165" s="14" t="s">
        <v>82</v>
      </c>
      <c r="C165" s="14">
        <v>117.6</v>
      </c>
      <c r="D165" s="19">
        <v>0.0</v>
      </c>
      <c r="E165" s="18">
        <v>7.04803523424E11</v>
      </c>
      <c r="F165" s="14">
        <v>0.21</v>
      </c>
      <c r="G165" s="14">
        <v>1.0</v>
      </c>
      <c r="H165" s="18">
        <v>1.4800873991904E11</v>
      </c>
      <c r="I165" s="14">
        <v>1.41</v>
      </c>
    </row>
    <row r="166">
      <c r="A166" s="14">
        <v>2022.0</v>
      </c>
      <c r="B166" s="14" t="s">
        <v>130</v>
      </c>
      <c r="C166" s="14">
        <v>1074.6</v>
      </c>
      <c r="D166" s="19">
        <v>0.0</v>
      </c>
      <c r="E166" s="18">
        <v>3.2628144276E12</v>
      </c>
      <c r="F166" s="14">
        <v>0.21</v>
      </c>
      <c r="G166" s="14">
        <v>0.8920187</v>
      </c>
      <c r="H166" s="18">
        <v>6.1120321165033E11</v>
      </c>
      <c r="I166" s="14">
        <v>5.82</v>
      </c>
    </row>
    <row r="167">
      <c r="A167" s="14">
        <v>2022.0</v>
      </c>
      <c r="B167" s="14" t="s">
        <v>17</v>
      </c>
      <c r="C167" s="14">
        <v>1403.5</v>
      </c>
      <c r="D167" s="19">
        <v>0.0</v>
      </c>
      <c r="E167" s="18">
        <v>3.037366742655E11</v>
      </c>
      <c r="F167" s="14">
        <v>0.36</v>
      </c>
      <c r="G167" s="14">
        <v>1.0</v>
      </c>
      <c r="H167" s="18">
        <v>1.0934520273558E11</v>
      </c>
      <c r="I167" s="14">
        <v>1.04</v>
      </c>
    </row>
    <row r="168">
      <c r="A168" s="14">
        <v>2022.0</v>
      </c>
      <c r="B168" s="14" t="s">
        <v>112</v>
      </c>
      <c r="C168" s="14">
        <v>6401.0</v>
      </c>
      <c r="D168" s="19">
        <v>3.367E7</v>
      </c>
      <c r="E168" s="18">
        <v>8.289295E11</v>
      </c>
      <c r="F168" s="14">
        <v>0.26</v>
      </c>
      <c r="G168" s="14">
        <v>1.0</v>
      </c>
      <c r="H168" s="18">
        <v>2.1552167E11</v>
      </c>
      <c r="I168" s="14">
        <v>2.05</v>
      </c>
    </row>
    <row r="169">
      <c r="A169" s="14">
        <v>2022.0</v>
      </c>
      <c r="B169" s="14" t="s">
        <v>86</v>
      </c>
      <c r="C169" s="14">
        <v>603.0</v>
      </c>
      <c r="D169" s="19">
        <v>0.0</v>
      </c>
      <c r="E169" s="18">
        <v>3.98279898432E11</v>
      </c>
      <c r="F169" s="14">
        <v>0.22</v>
      </c>
      <c r="G169" s="14">
        <v>1.0</v>
      </c>
      <c r="H169" s="18">
        <v>8.762157765504E10</v>
      </c>
      <c r="I169" s="14">
        <v>0.83</v>
      </c>
    </row>
    <row r="170">
      <c r="A170" s="14">
        <v>2022.0</v>
      </c>
      <c r="B170" s="14" t="s">
        <v>88</v>
      </c>
      <c r="C170" s="14">
        <v>7680.0</v>
      </c>
      <c r="D170" s="19">
        <v>2.9935268E7</v>
      </c>
      <c r="E170" s="18">
        <v>1.045012992E12</v>
      </c>
      <c r="F170" s="14">
        <v>0.22</v>
      </c>
      <c r="G170" s="14">
        <v>1.0</v>
      </c>
      <c r="H170" s="18">
        <v>2.2990285824E11</v>
      </c>
      <c r="I170" s="14">
        <v>2.19</v>
      </c>
    </row>
    <row r="171">
      <c r="A171" s="14">
        <v>2022.0</v>
      </c>
      <c r="B171" s="14" t="s">
        <v>157</v>
      </c>
      <c r="C171" s="14">
        <v>369.9</v>
      </c>
      <c r="D171" s="19">
        <v>0.0</v>
      </c>
      <c r="E171" s="18">
        <v>1.751943458061E11</v>
      </c>
      <c r="F171" s="14">
        <v>0.71</v>
      </c>
      <c r="G171" s="14">
        <v>1.0</v>
      </c>
      <c r="H171" s="18">
        <v>1.2438798552233E11</v>
      </c>
      <c r="I171" s="14">
        <v>1.19</v>
      </c>
    </row>
    <row r="172">
      <c r="A172" s="14">
        <v>2022.0</v>
      </c>
      <c r="B172" s="14" t="s">
        <v>132</v>
      </c>
      <c r="C172" s="14">
        <v>364.0</v>
      </c>
      <c r="D172" s="19">
        <v>0.0</v>
      </c>
      <c r="E172" s="18">
        <v>3.857736725388E12</v>
      </c>
      <c r="F172" s="14">
        <v>0.11</v>
      </c>
      <c r="G172" s="14">
        <v>1.0</v>
      </c>
      <c r="H172" s="18">
        <v>4.2435103979268E11</v>
      </c>
      <c r="I172" s="14">
        <v>4.04</v>
      </c>
    </row>
    <row r="173">
      <c r="A173" s="14">
        <v>2022.0</v>
      </c>
      <c r="B173" s="14" t="s">
        <v>90</v>
      </c>
      <c r="C173" s="14">
        <v>55.98</v>
      </c>
      <c r="D173" s="19">
        <v>0.0</v>
      </c>
      <c r="E173" s="18">
        <v>1.8378222406542E11</v>
      </c>
      <c r="F173" s="14">
        <v>0.29</v>
      </c>
      <c r="G173" s="14">
        <v>1.0</v>
      </c>
      <c r="H173" s="18">
        <v>5.329684497897E10</v>
      </c>
      <c r="I173" s="14">
        <v>0.51</v>
      </c>
    </row>
    <row r="174">
      <c r="A174" s="14">
        <v>2022.0</v>
      </c>
      <c r="B174" s="14" t="s">
        <v>21</v>
      </c>
      <c r="C174" s="14">
        <v>40.12</v>
      </c>
      <c r="D174" s="19">
        <v>0.0</v>
      </c>
      <c r="E174" s="18">
        <v>6.0954375626344E11</v>
      </c>
      <c r="F174" s="14">
        <v>0.18</v>
      </c>
      <c r="G174" s="14">
        <v>1.0</v>
      </c>
      <c r="H174" s="18">
        <v>1.0971787612742E11</v>
      </c>
      <c r="I174" s="14">
        <v>1.05</v>
      </c>
    </row>
    <row r="175">
      <c r="A175" s="14">
        <v>2022.0</v>
      </c>
      <c r="B175" s="14" t="s">
        <v>93</v>
      </c>
      <c r="C175" s="14">
        <v>141.21</v>
      </c>
      <c r="D175" s="19">
        <v>0.0</v>
      </c>
      <c r="E175" s="18">
        <v>3.04829292708E12</v>
      </c>
      <c r="F175" s="14">
        <v>0.48</v>
      </c>
      <c r="G175" s="14">
        <v>0.8920187</v>
      </c>
      <c r="H175" s="18">
        <v>1.30518446113588E12</v>
      </c>
      <c r="I175" s="14">
        <v>12.43</v>
      </c>
    </row>
    <row r="176">
      <c r="A176" s="14">
        <v>2022.0</v>
      </c>
      <c r="B176" s="14" t="s">
        <v>94</v>
      </c>
      <c r="C176" s="14">
        <v>140.56</v>
      </c>
      <c r="D176" s="19">
        <v>8.920187E8</v>
      </c>
      <c r="E176" s="18">
        <v>1.4056E11</v>
      </c>
      <c r="F176" s="14">
        <v>1.0</v>
      </c>
      <c r="G176" s="14">
        <v>0.8920187</v>
      </c>
      <c r="H176" s="18">
        <v>1.25382148472E11</v>
      </c>
      <c r="I176" s="14">
        <v>1.19</v>
      </c>
    </row>
    <row r="177">
      <c r="A177" s="14">
        <v>2022.0</v>
      </c>
      <c r="B177" s="14" t="s">
        <v>141</v>
      </c>
      <c r="C177" s="14">
        <v>21.75</v>
      </c>
      <c r="D177" s="19">
        <v>0.0</v>
      </c>
      <c r="E177" s="18">
        <v>7.7704038483375E11</v>
      </c>
      <c r="F177" s="14">
        <v>0.25</v>
      </c>
      <c r="G177" s="14">
        <v>1.0</v>
      </c>
      <c r="H177" s="18">
        <v>1.9426009620844E11</v>
      </c>
      <c r="I177" s="14">
        <v>1.85</v>
      </c>
    </row>
    <row r="178">
      <c r="A178" s="14">
        <v>2022.0</v>
      </c>
      <c r="B178" s="14" t="s">
        <v>142</v>
      </c>
      <c r="C178" s="14">
        <v>25.95</v>
      </c>
      <c r="D178" s="19">
        <v>0.0</v>
      </c>
      <c r="E178" s="18">
        <v>1.9986685419825E11</v>
      </c>
      <c r="F178" s="14">
        <v>0.73</v>
      </c>
      <c r="G178" s="14">
        <v>1.0</v>
      </c>
      <c r="H178" s="18">
        <v>1.4590280356472E11</v>
      </c>
      <c r="I178" s="14">
        <v>1.39</v>
      </c>
    </row>
    <row r="179">
      <c r="A179" s="14">
        <v>2022.0</v>
      </c>
      <c r="B179" s="14" t="s">
        <v>136</v>
      </c>
      <c r="C179" s="14">
        <v>348.9</v>
      </c>
      <c r="D179" s="19">
        <v>6.97181024E8</v>
      </c>
      <c r="E179" s="18">
        <v>7.6014518523E11</v>
      </c>
      <c r="F179" s="14">
        <v>0.32</v>
      </c>
      <c r="G179" s="14">
        <v>1.0</v>
      </c>
      <c r="H179" s="18">
        <v>2.432464592736E11</v>
      </c>
      <c r="I179" s="14">
        <v>2.32</v>
      </c>
    </row>
    <row r="180">
      <c r="A180" s="14">
        <v>2022.0</v>
      </c>
      <c r="B180" s="14" t="s">
        <v>137</v>
      </c>
      <c r="C180" s="14">
        <v>340.8</v>
      </c>
      <c r="D180" s="19">
        <v>1.475085E8</v>
      </c>
      <c r="E180" s="18">
        <v>5.02708968E10</v>
      </c>
      <c r="F180" s="14">
        <v>1.0</v>
      </c>
      <c r="G180" s="14">
        <v>1.0</v>
      </c>
      <c r="H180" s="18">
        <v>5.02708968E10</v>
      </c>
      <c r="I180" s="14">
        <v>0.48</v>
      </c>
    </row>
    <row r="181">
      <c r="A181" s="14">
        <v>2022.0</v>
      </c>
      <c r="B181" s="14" t="s">
        <v>180</v>
      </c>
      <c r="C181" s="14">
        <v>2540.0</v>
      </c>
      <c r="D181" s="19">
        <v>0.0</v>
      </c>
      <c r="E181" s="18">
        <v>5.0623594968E11</v>
      </c>
      <c r="F181" s="14">
        <v>0.58</v>
      </c>
      <c r="G181" s="14">
        <v>1.0</v>
      </c>
      <c r="H181" s="18">
        <v>2.936168508144E11</v>
      </c>
      <c r="I181" s="14">
        <v>2.8</v>
      </c>
    </row>
    <row r="182">
      <c r="A182" s="14">
        <v>2022.0</v>
      </c>
      <c r="B182" s="14" t="s">
        <v>104</v>
      </c>
      <c r="C182" s="14">
        <v>87550.0</v>
      </c>
      <c r="D182" s="19">
        <v>0.0</v>
      </c>
      <c r="E182" s="18">
        <v>1.3612930625E11</v>
      </c>
      <c r="F182" s="14">
        <v>0.37</v>
      </c>
      <c r="G182" s="14">
        <v>1.0</v>
      </c>
      <c r="H182" s="18">
        <v>5.03678433125E10</v>
      </c>
      <c r="I182" s="14">
        <v>0.48</v>
      </c>
    </row>
    <row r="183">
      <c r="A183" s="14">
        <v>2022.0</v>
      </c>
      <c r="B183" s="14" t="s">
        <v>15</v>
      </c>
      <c r="C183" s="14">
        <v>436.4</v>
      </c>
      <c r="D183" s="19">
        <v>0.0</v>
      </c>
      <c r="E183" s="18">
        <v>9.86861113028E10</v>
      </c>
      <c r="F183" s="14">
        <v>0.53</v>
      </c>
      <c r="G183" s="14">
        <v>1.0</v>
      </c>
      <c r="H183" s="18">
        <v>5.230363899048E10</v>
      </c>
      <c r="I183" s="14">
        <v>0.5</v>
      </c>
    </row>
    <row r="184">
      <c r="A184" s="14">
        <v>2022.0</v>
      </c>
      <c r="B184" s="14" t="s">
        <v>9</v>
      </c>
      <c r="C184" s="14">
        <v>0.01665</v>
      </c>
      <c r="D184" s="19">
        <v>0.0</v>
      </c>
      <c r="E184" s="18">
        <v>2.1579301326668E11</v>
      </c>
      <c r="F184" s="14">
        <v>0.36</v>
      </c>
      <c r="G184" s="14">
        <v>1.0</v>
      </c>
      <c r="H184" s="18">
        <v>7.7685484776E10</v>
      </c>
      <c r="I184" s="14">
        <v>0.74</v>
      </c>
    </row>
    <row r="185">
      <c r="A185" s="14">
        <v>2022.0</v>
      </c>
      <c r="B185" s="14" t="s">
        <v>181</v>
      </c>
      <c r="C185" s="14">
        <v>1816.0</v>
      </c>
      <c r="D185" s="19">
        <v>0.0</v>
      </c>
      <c r="E185" s="18">
        <v>5.92046674056E11</v>
      </c>
      <c r="F185" s="14">
        <v>0.97</v>
      </c>
      <c r="G185" s="14">
        <v>0.9361341</v>
      </c>
      <c r="H185" s="18">
        <v>5.3760802796423E11</v>
      </c>
      <c r="I185" s="14">
        <v>5.12</v>
      </c>
    </row>
    <row r="186">
      <c r="A186" s="14">
        <v>2021.0</v>
      </c>
      <c r="B186" s="14" t="s">
        <v>37</v>
      </c>
      <c r="C186" s="14">
        <v>23.443</v>
      </c>
      <c r="D186" s="19">
        <v>3.1845E9</v>
      </c>
      <c r="E186" s="18">
        <v>2.2622495E11</v>
      </c>
      <c r="F186" s="14">
        <v>0.33</v>
      </c>
      <c r="G186" s="14">
        <v>1.0</v>
      </c>
      <c r="H186" s="18">
        <v>7.46542335E10</v>
      </c>
      <c r="I186" s="14">
        <v>0.4</v>
      </c>
    </row>
    <row r="187">
      <c r="A187" s="14">
        <v>2021.0</v>
      </c>
      <c r="B187" s="14" t="s">
        <v>39</v>
      </c>
      <c r="C187" s="14">
        <v>58.96</v>
      </c>
      <c r="D187" s="19">
        <v>0.0</v>
      </c>
      <c r="E187" s="18">
        <v>1.4412981001408E11</v>
      </c>
      <c r="F187" s="14">
        <v>0.41</v>
      </c>
      <c r="G187" s="14">
        <v>1.0</v>
      </c>
      <c r="H187" s="18">
        <v>5.909322210577E10</v>
      </c>
      <c r="I187" s="14">
        <v>0.32</v>
      </c>
    </row>
    <row r="188">
      <c r="A188" s="14">
        <v>2021.0</v>
      </c>
      <c r="B188" s="14" t="s">
        <v>7</v>
      </c>
      <c r="C188" s="14">
        <v>122.8</v>
      </c>
      <c r="D188" s="19">
        <v>0.0</v>
      </c>
      <c r="E188" s="18">
        <v>9.04417779364E11</v>
      </c>
      <c r="F188" s="14">
        <v>0.34</v>
      </c>
      <c r="G188" s="14">
        <v>1.0</v>
      </c>
      <c r="H188" s="18">
        <v>3.0750204498376E11</v>
      </c>
      <c r="I188" s="14">
        <v>1.64</v>
      </c>
    </row>
    <row r="189">
      <c r="A189" s="14">
        <v>2021.0</v>
      </c>
      <c r="B189" s="14" t="s">
        <v>4</v>
      </c>
      <c r="C189" s="14">
        <v>6.85</v>
      </c>
      <c r="D189" s="19">
        <v>0.0</v>
      </c>
      <c r="E189" s="18">
        <v>2.289935125821E11</v>
      </c>
      <c r="F189" s="14">
        <v>0.21</v>
      </c>
      <c r="G189" s="14">
        <v>1.0</v>
      </c>
      <c r="H189" s="18">
        <v>4.808863764224E10</v>
      </c>
      <c r="I189" s="14">
        <v>0.26</v>
      </c>
    </row>
    <row r="190">
      <c r="A190" s="14">
        <v>2021.0</v>
      </c>
      <c r="B190" s="14" t="s">
        <v>96</v>
      </c>
      <c r="C190" s="14">
        <v>1605.2</v>
      </c>
      <c r="D190" s="19">
        <v>0.0</v>
      </c>
      <c r="E190" s="18">
        <v>1.344705993032E12</v>
      </c>
      <c r="F190" s="14">
        <v>0.22</v>
      </c>
      <c r="G190" s="14">
        <v>1.0</v>
      </c>
      <c r="H190" s="18">
        <v>2.9583531846704E11</v>
      </c>
      <c r="I190" s="14">
        <v>1.58</v>
      </c>
    </row>
    <row r="191">
      <c r="A191" s="14">
        <v>2021.0</v>
      </c>
      <c r="B191" s="14" t="s">
        <v>164</v>
      </c>
      <c r="C191" s="14">
        <v>124.76</v>
      </c>
      <c r="D191" s="19">
        <v>5.0991E8</v>
      </c>
      <c r="E191" s="18">
        <v>9.219764E10</v>
      </c>
      <c r="F191" s="14">
        <v>0.69</v>
      </c>
      <c r="G191" s="14">
        <v>1.0</v>
      </c>
      <c r="H191" s="18">
        <v>6.36163716E10</v>
      </c>
      <c r="I191" s="14">
        <v>0.34</v>
      </c>
    </row>
    <row r="192">
      <c r="A192" s="14">
        <v>2021.0</v>
      </c>
      <c r="B192" s="14" t="s">
        <v>29</v>
      </c>
      <c r="C192" s="14">
        <v>886.5</v>
      </c>
      <c r="D192" s="19">
        <v>0.0</v>
      </c>
      <c r="E192" s="18">
        <v>5.66339546304E11</v>
      </c>
      <c r="F192" s="14">
        <v>0.14</v>
      </c>
      <c r="G192" s="14">
        <v>1.0</v>
      </c>
      <c r="H192" s="18">
        <v>7.928753648256E10</v>
      </c>
      <c r="I192" s="14">
        <v>0.42</v>
      </c>
    </row>
    <row r="193">
      <c r="A193" s="14">
        <v>2021.0</v>
      </c>
      <c r="B193" s="14" t="s">
        <v>108</v>
      </c>
      <c r="C193" s="14">
        <v>0.16214</v>
      </c>
      <c r="D193" s="19">
        <v>0.0</v>
      </c>
      <c r="E193" s="18">
        <v>2.0667423548143E11</v>
      </c>
      <c r="F193" s="14">
        <v>0.18</v>
      </c>
      <c r="G193" s="14">
        <v>1.0</v>
      </c>
      <c r="H193" s="18">
        <v>3.720136238666E10</v>
      </c>
      <c r="I193" s="14">
        <v>0.2</v>
      </c>
    </row>
    <row r="194">
      <c r="A194" s="14">
        <v>2021.0</v>
      </c>
      <c r="B194" s="14" t="s">
        <v>166</v>
      </c>
      <c r="C194" s="14">
        <v>1961.5</v>
      </c>
      <c r="D194" s="19">
        <v>0.0</v>
      </c>
      <c r="E194" s="18">
        <v>5.32690188428E11</v>
      </c>
      <c r="F194" s="14">
        <v>0.41</v>
      </c>
      <c r="G194" s="14">
        <v>1.0</v>
      </c>
      <c r="H194" s="18">
        <v>2.1840297725548E11</v>
      </c>
      <c r="I194" s="14">
        <v>1.17</v>
      </c>
    </row>
    <row r="195">
      <c r="A195" s="14">
        <v>2021.0</v>
      </c>
      <c r="B195" s="14" t="s">
        <v>182</v>
      </c>
      <c r="C195" s="14">
        <v>543.1</v>
      </c>
      <c r="D195" s="19">
        <v>2.295E8</v>
      </c>
      <c r="E195" s="18">
        <v>4.61635E11</v>
      </c>
      <c r="F195" s="14">
        <v>0.27</v>
      </c>
      <c r="G195" s="14">
        <v>1.0</v>
      </c>
      <c r="H195" s="18">
        <v>1.2464145E11</v>
      </c>
      <c r="I195" s="14">
        <v>0.67</v>
      </c>
    </row>
    <row r="196">
      <c r="A196" s="14">
        <v>2021.0</v>
      </c>
      <c r="B196" s="14" t="s">
        <v>43</v>
      </c>
      <c r="C196" s="14">
        <v>343.28</v>
      </c>
      <c r="D196" s="19">
        <v>0.0</v>
      </c>
      <c r="E196" s="18">
        <v>8.126643508312E12</v>
      </c>
      <c r="F196" s="14">
        <v>0.5</v>
      </c>
      <c r="G196" s="14">
        <v>0.7208006</v>
      </c>
      <c r="H196" s="18">
        <v>2.92884475838871E12</v>
      </c>
      <c r="I196" s="14">
        <v>15.64</v>
      </c>
    </row>
    <row r="197">
      <c r="A197" s="14">
        <v>2021.0</v>
      </c>
      <c r="B197" s="14" t="s">
        <v>168</v>
      </c>
      <c r="C197" s="14">
        <v>647.0</v>
      </c>
      <c r="D197" s="19">
        <v>0.0</v>
      </c>
      <c r="E197" s="18">
        <v>1.15645372652E11</v>
      </c>
      <c r="F197" s="14">
        <v>0.57</v>
      </c>
      <c r="G197" s="14">
        <v>1.0</v>
      </c>
      <c r="H197" s="18">
        <v>6.591786241164E10</v>
      </c>
      <c r="I197" s="14">
        <v>0.35</v>
      </c>
    </row>
    <row r="198">
      <c r="A198" s="14">
        <v>2021.0</v>
      </c>
      <c r="B198" s="14" t="s">
        <v>45</v>
      </c>
      <c r="C198" s="14">
        <v>22828.0</v>
      </c>
      <c r="D198" s="19">
        <v>0.0</v>
      </c>
      <c r="E198" s="18">
        <v>3.612427726128E12</v>
      </c>
      <c r="F198" s="14">
        <v>0.38</v>
      </c>
      <c r="G198" s="14">
        <v>0.8726247</v>
      </c>
      <c r="H198" s="18">
        <v>1.19787159109738E12</v>
      </c>
      <c r="I198" s="14">
        <v>6.4</v>
      </c>
    </row>
    <row r="199">
      <c r="A199" s="14">
        <v>2021.0</v>
      </c>
      <c r="B199" s="14" t="s">
        <v>169</v>
      </c>
      <c r="C199" s="14">
        <v>3836.0</v>
      </c>
      <c r="D199" s="19">
        <v>0.0</v>
      </c>
      <c r="E199" s="18">
        <v>1.9423862192E11</v>
      </c>
      <c r="F199" s="14">
        <v>0.59</v>
      </c>
      <c r="G199" s="14">
        <v>1.0</v>
      </c>
      <c r="H199" s="18">
        <v>1.146007869328E11</v>
      </c>
      <c r="I199" s="14">
        <v>0.61</v>
      </c>
    </row>
    <row r="200">
      <c r="A200" s="14">
        <v>2021.0</v>
      </c>
      <c r="B200" s="14" t="s">
        <v>106</v>
      </c>
      <c r="C200" s="14">
        <v>0.742</v>
      </c>
      <c r="D200" s="19">
        <v>0.0</v>
      </c>
      <c r="E200" s="18">
        <v>3.2595236813996E11</v>
      </c>
      <c r="F200" s="14">
        <v>0.25</v>
      </c>
      <c r="G200" s="14">
        <v>1.0</v>
      </c>
      <c r="H200" s="18">
        <v>8.148809203499E10</v>
      </c>
      <c r="I200" s="14">
        <v>0.44</v>
      </c>
    </row>
    <row r="201">
      <c r="A201" s="14">
        <v>2021.0</v>
      </c>
      <c r="B201" s="14" t="s">
        <v>59</v>
      </c>
      <c r="C201" s="14">
        <v>4.2725</v>
      </c>
      <c r="D201" s="19">
        <v>3.4452E10</v>
      </c>
      <c r="E201" s="18">
        <v>4.46049E11</v>
      </c>
      <c r="F201" s="14">
        <v>0.33</v>
      </c>
      <c r="G201" s="14">
        <v>1.0</v>
      </c>
      <c r="H201" s="18">
        <v>1.4719617E11</v>
      </c>
      <c r="I201" s="14">
        <v>0.79</v>
      </c>
    </row>
    <row r="202">
      <c r="A202" s="14">
        <v>2021.0</v>
      </c>
      <c r="B202" s="14" t="s">
        <v>78</v>
      </c>
      <c r="C202" s="14">
        <v>6570.0</v>
      </c>
      <c r="D202" s="19">
        <v>0.0</v>
      </c>
      <c r="E202" s="18">
        <v>4.55212805634E12</v>
      </c>
      <c r="F202" s="14">
        <v>0.55</v>
      </c>
      <c r="G202" s="14">
        <v>0.8726247</v>
      </c>
      <c r="H202" s="18">
        <v>1.8476465873866E11</v>
      </c>
      <c r="I202" s="14">
        <v>11.67</v>
      </c>
    </row>
    <row r="203">
      <c r="A203" s="14">
        <v>2021.0</v>
      </c>
      <c r="B203" s="14" t="s">
        <v>69</v>
      </c>
      <c r="C203" s="14">
        <v>69.44</v>
      </c>
      <c r="D203" s="19">
        <v>2.234866E9</v>
      </c>
      <c r="E203" s="18">
        <v>7.759454752E11</v>
      </c>
      <c r="F203" s="14">
        <v>0.2</v>
      </c>
      <c r="G203" s="14">
        <v>1.0</v>
      </c>
      <c r="H203" s="18">
        <v>1.5518909504E11</v>
      </c>
      <c r="I203" s="14">
        <v>0.83</v>
      </c>
    </row>
    <row r="204">
      <c r="A204" s="14">
        <v>2021.0</v>
      </c>
      <c r="B204" s="14" t="s">
        <v>147</v>
      </c>
      <c r="C204" s="14">
        <v>5441.5</v>
      </c>
      <c r="D204" s="19">
        <v>0.0</v>
      </c>
      <c r="E204" s="18">
        <v>5.545506382325E11</v>
      </c>
      <c r="F204" s="14">
        <v>0.67</v>
      </c>
      <c r="G204" s="14">
        <v>1.0</v>
      </c>
      <c r="H204" s="18">
        <v>3.7154892761578E11</v>
      </c>
      <c r="I204" s="14">
        <v>1.98</v>
      </c>
    </row>
    <row r="205">
      <c r="A205" s="14">
        <v>2021.0</v>
      </c>
      <c r="B205" s="14" t="s">
        <v>76</v>
      </c>
      <c r="C205" s="14">
        <v>153.18</v>
      </c>
      <c r="D205" s="19">
        <v>0.0</v>
      </c>
      <c r="E205" s="18">
        <v>3.4869917533644E11</v>
      </c>
      <c r="F205" s="14">
        <v>0.63</v>
      </c>
      <c r="G205" s="14">
        <v>1.0</v>
      </c>
      <c r="H205" s="18">
        <v>2.1968048046196E11</v>
      </c>
      <c r="I205" s="14">
        <v>1.17</v>
      </c>
    </row>
    <row r="206">
      <c r="A206" s="14">
        <v>2021.0</v>
      </c>
      <c r="B206" s="14" t="s">
        <v>74</v>
      </c>
      <c r="C206" s="14">
        <v>298.6</v>
      </c>
      <c r="D206" s="19">
        <v>0.0</v>
      </c>
      <c r="E206" s="18">
        <v>5.96716738295E11</v>
      </c>
      <c r="F206" s="14">
        <v>0.42</v>
      </c>
      <c r="G206" s="14">
        <v>1.0</v>
      </c>
      <c r="H206" s="18">
        <v>2.506210300839E11</v>
      </c>
      <c r="I206" s="14">
        <v>1.34</v>
      </c>
    </row>
    <row r="207">
      <c r="A207" s="14">
        <v>2021.0</v>
      </c>
      <c r="B207" s="14" t="s">
        <v>82</v>
      </c>
      <c r="C207" s="14">
        <v>217.64</v>
      </c>
      <c r="D207" s="19">
        <v>0.0</v>
      </c>
      <c r="E207" s="18">
        <v>1.3043659765136E12</v>
      </c>
      <c r="F207" s="14">
        <v>0.21</v>
      </c>
      <c r="G207" s="14">
        <v>1.0</v>
      </c>
      <c r="H207" s="18">
        <v>2.7391685506786E11</v>
      </c>
      <c r="I207" s="14">
        <v>1.46</v>
      </c>
    </row>
    <row r="208">
      <c r="A208" s="14">
        <v>2021.0</v>
      </c>
      <c r="B208" s="14" t="s">
        <v>130</v>
      </c>
      <c r="C208" s="14">
        <v>1720.0</v>
      </c>
      <c r="D208" s="19">
        <v>6.3762426E8</v>
      </c>
      <c r="E208" s="18">
        <v>5.22244632E12</v>
      </c>
      <c r="F208" s="14">
        <v>0.21</v>
      </c>
      <c r="G208" s="14">
        <v>1.0</v>
      </c>
      <c r="H208" s="18">
        <v>1.0967137272E12</v>
      </c>
      <c r="I208" s="14">
        <v>5.86</v>
      </c>
    </row>
    <row r="209">
      <c r="A209" s="14">
        <v>2021.0</v>
      </c>
      <c r="B209" s="14" t="s">
        <v>17</v>
      </c>
      <c r="C209" s="14">
        <v>2278.5</v>
      </c>
      <c r="D209" s="19">
        <v>0.0</v>
      </c>
      <c r="E209" s="18">
        <v>4.64198709303E11</v>
      </c>
      <c r="F209" s="14">
        <v>0.27</v>
      </c>
      <c r="G209" s="14">
        <v>1.0</v>
      </c>
      <c r="H209" s="18">
        <v>1.2533365151181E11</v>
      </c>
      <c r="I209" s="14">
        <v>0.67</v>
      </c>
    </row>
    <row r="210">
      <c r="A210" s="14">
        <v>2021.0</v>
      </c>
      <c r="B210" s="14" t="s">
        <v>112</v>
      </c>
      <c r="C210" s="14">
        <v>5833.0</v>
      </c>
      <c r="D210" s="19">
        <v>3.2375E7</v>
      </c>
      <c r="E210" s="18">
        <v>7.553735E11</v>
      </c>
      <c r="F210" s="14">
        <v>0.25</v>
      </c>
      <c r="G210" s="14">
        <v>1.0</v>
      </c>
      <c r="H210" s="18">
        <v>1.88843375E11</v>
      </c>
      <c r="I210" s="14">
        <v>1.01</v>
      </c>
    </row>
    <row r="211">
      <c r="A211" s="14">
        <v>2021.0</v>
      </c>
      <c r="B211" s="14" t="s">
        <v>86</v>
      </c>
      <c r="C211" s="14">
        <v>1110.0</v>
      </c>
      <c r="D211" s="19">
        <v>0.0</v>
      </c>
      <c r="E211" s="18">
        <v>7.3315205184E11</v>
      </c>
      <c r="F211" s="14">
        <v>0.22</v>
      </c>
      <c r="G211" s="14">
        <v>1.0</v>
      </c>
      <c r="H211" s="18">
        <v>1.612934514048E11</v>
      </c>
      <c r="I211" s="14">
        <v>0.86</v>
      </c>
    </row>
    <row r="212">
      <c r="A212" s="14">
        <v>2021.0</v>
      </c>
      <c r="B212" s="14" t="s">
        <v>88</v>
      </c>
      <c r="C212" s="14">
        <v>13075.0</v>
      </c>
      <c r="D212" s="19">
        <v>2.8574574E7</v>
      </c>
      <c r="E212" s="18">
        <v>1.779107405E12</v>
      </c>
      <c r="F212" s="14">
        <v>0.22</v>
      </c>
      <c r="G212" s="14">
        <v>1.0</v>
      </c>
      <c r="H212" s="18">
        <v>3.7361255505E11</v>
      </c>
      <c r="I212" s="14">
        <v>2.0</v>
      </c>
    </row>
    <row r="213">
      <c r="A213" s="14">
        <v>2021.0</v>
      </c>
      <c r="B213" s="14" t="s">
        <v>183</v>
      </c>
      <c r="C213" s="14">
        <v>19.345</v>
      </c>
      <c r="D213" s="19">
        <v>0.0</v>
      </c>
      <c r="E213" s="18">
        <v>7.655339306363E10</v>
      </c>
      <c r="F213" s="14">
        <v>0.65</v>
      </c>
      <c r="G213" s="14">
        <v>1.0</v>
      </c>
      <c r="H213" s="18">
        <v>4.975970549136E10</v>
      </c>
      <c r="I213" s="14">
        <v>0.27</v>
      </c>
    </row>
    <row r="214">
      <c r="A214" s="14">
        <v>2021.0</v>
      </c>
      <c r="B214" s="14" t="s">
        <v>157</v>
      </c>
      <c r="C214" s="14">
        <v>1312.5</v>
      </c>
      <c r="D214" s="19">
        <v>0.0</v>
      </c>
      <c r="E214" s="18">
        <v>6.215688373125E11</v>
      </c>
      <c r="F214" s="14">
        <v>0.71</v>
      </c>
      <c r="G214" s="14">
        <v>1.0</v>
      </c>
      <c r="H214" s="18">
        <v>4.4131387449188E11</v>
      </c>
      <c r="I214" s="14">
        <v>2.36</v>
      </c>
    </row>
    <row r="215">
      <c r="A215" s="14">
        <v>2021.0</v>
      </c>
      <c r="B215" s="14" t="s">
        <v>132</v>
      </c>
      <c r="C215" s="14">
        <v>599.9</v>
      </c>
      <c r="D215" s="19">
        <v>0.0</v>
      </c>
      <c r="E215" s="18">
        <v>6.3578468724183E12</v>
      </c>
      <c r="F215" s="14">
        <v>0.11</v>
      </c>
      <c r="G215" s="14">
        <v>1.0</v>
      </c>
      <c r="H215" s="18">
        <v>6.9936315596601E11</v>
      </c>
      <c r="I215" s="14">
        <v>3.73</v>
      </c>
    </row>
    <row r="216">
      <c r="A216" s="14">
        <v>2021.0</v>
      </c>
      <c r="B216" s="14" t="s">
        <v>90</v>
      </c>
      <c r="C216" s="14">
        <v>87.22</v>
      </c>
      <c r="D216" s="19">
        <v>0.0</v>
      </c>
      <c r="E216" s="18">
        <v>2.8634307936738E11</v>
      </c>
      <c r="F216" s="14">
        <v>0.29</v>
      </c>
      <c r="G216" s="14">
        <v>1.0</v>
      </c>
      <c r="H216" s="18">
        <v>8.303949301654E10</v>
      </c>
      <c r="I216" s="14">
        <v>0.44</v>
      </c>
    </row>
    <row r="217">
      <c r="A217" s="14">
        <v>2021.0</v>
      </c>
      <c r="B217" s="14" t="s">
        <v>21</v>
      </c>
      <c r="C217" s="14">
        <v>74.0</v>
      </c>
      <c r="D217" s="19">
        <v>0.0</v>
      </c>
      <c r="E217" s="18">
        <v>1.124283099788E12</v>
      </c>
      <c r="F217" s="14">
        <v>0.17</v>
      </c>
      <c r="G217" s="14">
        <v>1.0</v>
      </c>
      <c r="H217" s="18">
        <v>1.9112812696396E11</v>
      </c>
      <c r="I217" s="14">
        <v>1.02</v>
      </c>
    </row>
    <row r="218">
      <c r="A218" s="14">
        <v>2021.0</v>
      </c>
      <c r="B218" s="14" t="s">
        <v>93</v>
      </c>
      <c r="C218" s="14">
        <v>293.62</v>
      </c>
      <c r="D218" s="19">
        <v>0.0</v>
      </c>
      <c r="E218" s="18">
        <v>6.33835967176E12</v>
      </c>
      <c r="F218" s="14">
        <v>0.48</v>
      </c>
      <c r="G218" s="14">
        <v>0.8025736</v>
      </c>
      <c r="H218" s="18">
        <v>2.44176006713242E12</v>
      </c>
      <c r="I218" s="14">
        <v>13.04</v>
      </c>
    </row>
    <row r="219">
      <c r="A219" s="14">
        <v>2021.0</v>
      </c>
      <c r="B219" s="14" t="s">
        <v>94</v>
      </c>
      <c r="C219" s="14">
        <v>278.15</v>
      </c>
      <c r="D219" s="19">
        <v>8.025736E8</v>
      </c>
      <c r="E219" s="18">
        <v>2.7815E11</v>
      </c>
      <c r="F219" s="14">
        <v>1.0</v>
      </c>
      <c r="G219" s="14">
        <v>0.8025736</v>
      </c>
      <c r="H219" s="18">
        <v>2.2323584684E11</v>
      </c>
      <c r="I219" s="14">
        <v>1.19</v>
      </c>
    </row>
    <row r="220">
      <c r="A220" s="14">
        <v>2021.0</v>
      </c>
      <c r="B220" s="14" t="s">
        <v>141</v>
      </c>
      <c r="C220" s="14">
        <v>39.78</v>
      </c>
      <c r="D220" s="19">
        <v>0.0</v>
      </c>
      <c r="E220" s="18">
        <v>1.4211800693649E12</v>
      </c>
      <c r="F220" s="14">
        <v>0.25</v>
      </c>
      <c r="G220" s="14">
        <v>1.0</v>
      </c>
      <c r="H220" s="18">
        <v>3.5529501734123E11</v>
      </c>
      <c r="I220" s="14">
        <v>1.9</v>
      </c>
    </row>
    <row r="221">
      <c r="A221" s="14">
        <v>2021.0</v>
      </c>
      <c r="B221" s="14" t="s">
        <v>142</v>
      </c>
      <c r="C221" s="14">
        <v>38.48</v>
      </c>
      <c r="D221" s="19">
        <v>0.0</v>
      </c>
      <c r="E221" s="18">
        <v>2.963728920828E11</v>
      </c>
      <c r="F221" s="14">
        <v>0.73</v>
      </c>
      <c r="G221" s="14">
        <v>1.0</v>
      </c>
      <c r="H221" s="18">
        <v>2.1635221122044E11</v>
      </c>
      <c r="I221" s="14">
        <v>1.16</v>
      </c>
    </row>
    <row r="222">
      <c r="A222" s="14">
        <v>2021.0</v>
      </c>
      <c r="B222" s="14" t="s">
        <v>136</v>
      </c>
      <c r="C222" s="14">
        <v>500.5</v>
      </c>
      <c r="D222" s="19">
        <v>6.97181024E8</v>
      </c>
      <c r="E222" s="18">
        <v>1.09043469535E12</v>
      </c>
      <c r="F222" s="14">
        <v>0.32</v>
      </c>
      <c r="G222" s="14">
        <v>1.0</v>
      </c>
      <c r="H222" s="18">
        <v>3.48939102512E11</v>
      </c>
      <c r="I222" s="14">
        <v>1.86</v>
      </c>
    </row>
    <row r="223">
      <c r="A223" s="14">
        <v>2021.0</v>
      </c>
      <c r="B223" s="14" t="s">
        <v>137</v>
      </c>
      <c r="C223" s="14">
        <v>459.3</v>
      </c>
      <c r="D223" s="19">
        <v>1.475085E8</v>
      </c>
      <c r="E223" s="18">
        <v>6.775065405E10</v>
      </c>
      <c r="F223" s="14">
        <v>1.0</v>
      </c>
      <c r="G223" s="14">
        <v>1.0</v>
      </c>
      <c r="H223" s="18">
        <v>6.775065405E10</v>
      </c>
      <c r="I223" s="14">
        <v>0.36</v>
      </c>
    </row>
    <row r="224">
      <c r="A224" s="14">
        <v>2021.0</v>
      </c>
      <c r="B224" s="14" t="s">
        <v>180</v>
      </c>
      <c r="C224" s="14">
        <v>6102.6</v>
      </c>
      <c r="D224" s="19">
        <v>0.0</v>
      </c>
      <c r="E224" s="18">
        <v>1.2162816954792E12</v>
      </c>
      <c r="F224" s="14">
        <v>0.58</v>
      </c>
      <c r="G224" s="14">
        <v>1.0</v>
      </c>
      <c r="H224" s="18">
        <v>7.0544338337794E11</v>
      </c>
      <c r="I224" s="14">
        <v>3.77</v>
      </c>
    </row>
    <row r="225">
      <c r="A225" s="14">
        <v>2021.0</v>
      </c>
      <c r="B225" s="14" t="s">
        <v>104</v>
      </c>
      <c r="C225" s="14">
        <v>158800.0</v>
      </c>
      <c r="D225" s="19">
        <v>0.0</v>
      </c>
      <c r="E225" s="18">
        <v>2.4691415E11</v>
      </c>
      <c r="F225" s="14">
        <v>0.37</v>
      </c>
      <c r="G225" s="14">
        <v>1.0</v>
      </c>
      <c r="H225" s="18">
        <v>9.13582355E10</v>
      </c>
      <c r="I225" s="14">
        <v>0.49</v>
      </c>
    </row>
    <row r="226">
      <c r="A226" s="14">
        <v>2021.0</v>
      </c>
      <c r="B226" s="14" t="s">
        <v>15</v>
      </c>
      <c r="C226" s="14">
        <v>872.0</v>
      </c>
      <c r="D226" s="19">
        <v>0.0</v>
      </c>
      <c r="E226" s="18">
        <v>1.96697915488E11</v>
      </c>
      <c r="F226" s="14">
        <v>0.53</v>
      </c>
      <c r="G226" s="14">
        <v>1.0</v>
      </c>
      <c r="H226" s="18">
        <v>1.0424989520864E11</v>
      </c>
      <c r="I226" s="14">
        <v>0.56</v>
      </c>
    </row>
    <row r="227">
      <c r="A227" s="14">
        <v>2021.0</v>
      </c>
      <c r="B227" s="14" t="s">
        <v>9</v>
      </c>
      <c r="C227" s="14">
        <v>0.0483</v>
      </c>
      <c r="D227" s="19">
        <v>0.0</v>
      </c>
      <c r="E227" s="18">
        <v>6.2599414659343E11</v>
      </c>
      <c r="F227" s="14">
        <v>0.36</v>
      </c>
      <c r="G227" s="14">
        <v>1.0</v>
      </c>
      <c r="H227" s="18">
        <v>2.2535789277363E11</v>
      </c>
      <c r="I227" s="14">
        <v>1.2</v>
      </c>
    </row>
    <row r="228">
      <c r="A228" s="14">
        <v>2021.0</v>
      </c>
      <c r="B228" s="14" t="s">
        <v>181</v>
      </c>
      <c r="C228" s="14">
        <v>4514.4</v>
      </c>
      <c r="D228" s="19">
        <v>0.0</v>
      </c>
      <c r="E228" s="18">
        <v>1.4617648823976E12</v>
      </c>
      <c r="F228" s="14">
        <v>0.97</v>
      </c>
      <c r="G228" s="14">
        <v>0.8726247</v>
      </c>
      <c r="H228" s="18">
        <v>1.23730497771349E12</v>
      </c>
      <c r="I228" s="14">
        <v>6.61</v>
      </c>
    </row>
    <row r="229">
      <c r="A229" s="14">
        <v>2020.0</v>
      </c>
      <c r="B229" s="14" t="s">
        <v>37</v>
      </c>
      <c r="C229" s="14">
        <v>28.641</v>
      </c>
      <c r="D229" s="19">
        <v>3.1845E9</v>
      </c>
      <c r="E229" s="18">
        <v>2.7638565E11</v>
      </c>
      <c r="F229" s="14">
        <v>0.33</v>
      </c>
      <c r="G229" s="14">
        <v>1.0</v>
      </c>
      <c r="H229" s="18">
        <v>9.12072645E10</v>
      </c>
      <c r="I229" s="14">
        <v>0.55</v>
      </c>
    </row>
    <row r="230">
      <c r="A230" s="14">
        <v>2020.0</v>
      </c>
      <c r="B230" s="14" t="s">
        <v>39</v>
      </c>
      <c r="C230" s="14">
        <v>71.18</v>
      </c>
      <c r="D230" s="19">
        <v>0.0</v>
      </c>
      <c r="E230" s="18">
        <v>1.7400203318864E11</v>
      </c>
      <c r="F230" s="14">
        <v>0.41</v>
      </c>
      <c r="G230" s="14">
        <v>1.0</v>
      </c>
      <c r="H230" s="18">
        <v>7.134083360734E10</v>
      </c>
      <c r="I230" s="14">
        <v>0.43</v>
      </c>
    </row>
    <row r="231">
      <c r="A231" s="14">
        <v>2020.0</v>
      </c>
      <c r="B231" s="14" t="s">
        <v>7</v>
      </c>
      <c r="C231" s="14">
        <v>98.33</v>
      </c>
      <c r="D231" s="19">
        <v>0.0</v>
      </c>
      <c r="E231" s="18">
        <v>7.241970703979E11</v>
      </c>
      <c r="F231" s="14">
        <v>0.34</v>
      </c>
      <c r="G231" s="14">
        <v>1.0</v>
      </c>
      <c r="H231" s="18">
        <v>2.4622700393529E11</v>
      </c>
      <c r="I231" s="14">
        <v>1.47</v>
      </c>
    </row>
    <row r="232">
      <c r="A232" s="14">
        <v>2020.0</v>
      </c>
      <c r="B232" s="14" t="s">
        <v>4</v>
      </c>
      <c r="C232" s="14">
        <v>6.143</v>
      </c>
      <c r="D232" s="19">
        <v>0.0</v>
      </c>
      <c r="E232" s="18">
        <v>1.8324390770684E11</v>
      </c>
      <c r="F232" s="14">
        <v>0.2</v>
      </c>
      <c r="G232" s="14">
        <v>1.0</v>
      </c>
      <c r="H232" s="18">
        <v>3.664878154137E10</v>
      </c>
      <c r="I232" s="14">
        <v>0.22</v>
      </c>
    </row>
    <row r="233">
      <c r="A233" s="14">
        <v>2020.0</v>
      </c>
      <c r="B233" s="14" t="s">
        <v>96</v>
      </c>
      <c r="C233" s="14">
        <v>1315.4</v>
      </c>
      <c r="D233" s="19">
        <v>1.67543732E8</v>
      </c>
      <c r="E233" s="18">
        <v>1.101935125364E12</v>
      </c>
      <c r="F233" s="14">
        <v>0.2</v>
      </c>
      <c r="G233" s="14">
        <v>1.0</v>
      </c>
      <c r="H233" s="18">
        <v>2.203870250728E11</v>
      </c>
      <c r="I233" s="14">
        <v>1.32</v>
      </c>
    </row>
    <row r="234">
      <c r="A234" s="14">
        <v>2020.0</v>
      </c>
      <c r="B234" s="14" t="s">
        <v>164</v>
      </c>
      <c r="C234" s="14">
        <v>135.52</v>
      </c>
      <c r="D234" s="19">
        <v>7.3161E8</v>
      </c>
      <c r="E234" s="18">
        <v>1.0014928E11</v>
      </c>
      <c r="F234" s="14">
        <v>0.99</v>
      </c>
      <c r="G234" s="14">
        <v>1.0</v>
      </c>
      <c r="H234" s="18">
        <v>9.91477872E10</v>
      </c>
      <c r="I234" s="14">
        <v>0.59</v>
      </c>
    </row>
    <row r="235">
      <c r="A235" s="14">
        <v>2020.0</v>
      </c>
      <c r="B235" s="14" t="s">
        <v>108</v>
      </c>
      <c r="C235" s="14">
        <v>0.2221</v>
      </c>
      <c r="D235" s="19">
        <v>0.0</v>
      </c>
      <c r="E235" s="18">
        <v>2.8310316825229E11</v>
      </c>
      <c r="F235" s="14">
        <v>0.18</v>
      </c>
      <c r="G235" s="14">
        <v>1.0</v>
      </c>
      <c r="H235" s="18">
        <v>5.095857028541E10</v>
      </c>
      <c r="I235" s="14">
        <v>0.31</v>
      </c>
    </row>
    <row r="236">
      <c r="A236" s="14">
        <v>2020.0</v>
      </c>
      <c r="B236" s="14" t="s">
        <v>166</v>
      </c>
      <c r="C236" s="14">
        <v>2760.0</v>
      </c>
      <c r="D236" s="19">
        <v>0.0</v>
      </c>
      <c r="E236" s="18">
        <v>7.4954112672E11</v>
      </c>
      <c r="F236" s="14">
        <v>0.41</v>
      </c>
      <c r="G236" s="14">
        <v>1.0</v>
      </c>
      <c r="H236" s="18">
        <v>3.073118619552E11</v>
      </c>
      <c r="I236" s="14">
        <v>1.84</v>
      </c>
    </row>
    <row r="237">
      <c r="A237" s="14">
        <v>2020.0</v>
      </c>
      <c r="B237" s="14" t="s">
        <v>43</v>
      </c>
      <c r="C237" s="14">
        <v>212.69</v>
      </c>
      <c r="D237" s="19">
        <v>0.0</v>
      </c>
      <c r="E237" s="18">
        <v>5.035119458701E12</v>
      </c>
      <c r="F237" s="14">
        <v>0.5</v>
      </c>
      <c r="G237" s="14">
        <v>0.897251</v>
      </c>
      <c r="H237" s="18">
        <v>2.25888298471945E12</v>
      </c>
      <c r="I237" s="14">
        <v>13.52</v>
      </c>
    </row>
    <row r="238">
      <c r="A238" s="14">
        <v>2020.0</v>
      </c>
      <c r="B238" s="14" t="s">
        <v>168</v>
      </c>
      <c r="C238" s="14">
        <v>455.25</v>
      </c>
      <c r="D238" s="19">
        <v>0.0</v>
      </c>
      <c r="E238" s="18">
        <v>8.1371802009E10</v>
      </c>
      <c r="F238" s="14">
        <v>0.57</v>
      </c>
      <c r="G238" s="14">
        <v>1.0</v>
      </c>
      <c r="H238" s="18">
        <v>4.638192714513E10</v>
      </c>
      <c r="I238" s="14">
        <v>0.28</v>
      </c>
    </row>
    <row r="239">
      <c r="A239" s="14">
        <v>2020.0</v>
      </c>
      <c r="B239" s="14" t="s">
        <v>45</v>
      </c>
      <c r="C239" s="14">
        <v>23696.0</v>
      </c>
      <c r="D239" s="19">
        <v>0.0</v>
      </c>
      <c r="E239" s="18">
        <v>3.749784799296E12</v>
      </c>
      <c r="F239" s="14">
        <v>0.38</v>
      </c>
      <c r="G239" s="14">
        <v>0.897251</v>
      </c>
      <c r="H239" s="18">
        <v>1.27850930116312E12</v>
      </c>
      <c r="I239" s="14">
        <v>7.65</v>
      </c>
    </row>
    <row r="240">
      <c r="A240" s="14">
        <v>2020.0</v>
      </c>
      <c r="B240" s="14" t="s">
        <v>169</v>
      </c>
      <c r="C240" s="14">
        <v>2298.2</v>
      </c>
      <c r="D240" s="19">
        <v>0.0</v>
      </c>
      <c r="E240" s="18">
        <v>1.15640505852E11</v>
      </c>
      <c r="F240" s="14">
        <v>0.48</v>
      </c>
      <c r="G240" s="14">
        <v>1.0</v>
      </c>
      <c r="H240" s="18">
        <v>5.550744280896E10</v>
      </c>
      <c r="I240" s="14">
        <v>0.33</v>
      </c>
    </row>
    <row r="241">
      <c r="A241" s="14">
        <v>2020.0</v>
      </c>
      <c r="B241" s="14" t="s">
        <v>106</v>
      </c>
      <c r="C241" s="14">
        <v>0.7822</v>
      </c>
      <c r="D241" s="19">
        <v>0.0</v>
      </c>
      <c r="E241" s="18">
        <v>3.3344319095959E11</v>
      </c>
      <c r="F241" s="14">
        <v>0.19</v>
      </c>
      <c r="G241" s="14">
        <v>1.0</v>
      </c>
      <c r="H241" s="18">
        <v>6.335419089232E10</v>
      </c>
      <c r="I241" s="14">
        <v>0.38</v>
      </c>
    </row>
    <row r="242">
      <c r="A242" s="14">
        <v>2020.0</v>
      </c>
      <c r="B242" s="14" t="s">
        <v>59</v>
      </c>
      <c r="C242" s="14">
        <v>5.3125</v>
      </c>
      <c r="D242" s="19">
        <v>3.4452E10</v>
      </c>
      <c r="E242" s="18">
        <v>5.54625E11</v>
      </c>
      <c r="F242" s="14">
        <v>0.33</v>
      </c>
      <c r="G242" s="14">
        <v>1.0</v>
      </c>
      <c r="H242" s="18">
        <v>1.8302625E11</v>
      </c>
      <c r="I242" s="14">
        <v>1.1</v>
      </c>
    </row>
    <row r="243">
      <c r="A243" s="14">
        <v>2020.0</v>
      </c>
      <c r="B243" s="14" t="s">
        <v>78</v>
      </c>
      <c r="C243" s="14">
        <v>5168.0</v>
      </c>
      <c r="D243" s="19">
        <v>0.0</v>
      </c>
      <c r="E243" s="18">
        <v>3.580730258016E12</v>
      </c>
      <c r="F243" s="14">
        <v>0.55</v>
      </c>
      <c r="G243" s="14">
        <v>0.897251</v>
      </c>
      <c r="H243" s="18">
        <v>1.76704759260409E12</v>
      </c>
      <c r="I243" s="14">
        <v>10.58</v>
      </c>
    </row>
    <row r="244">
      <c r="A244" s="14">
        <v>2020.0</v>
      </c>
      <c r="B244" s="14" t="s">
        <v>49</v>
      </c>
      <c r="C244" s="14">
        <v>866.4</v>
      </c>
      <c r="D244" s="19">
        <v>0.0</v>
      </c>
      <c r="E244" s="18">
        <v>8.9265378276E10</v>
      </c>
      <c r="F244" s="14">
        <v>0.42</v>
      </c>
      <c r="G244" s="14">
        <v>1.0</v>
      </c>
      <c r="H244" s="18">
        <v>3.749145887592E10</v>
      </c>
      <c r="I244" s="14">
        <v>0.22</v>
      </c>
    </row>
    <row r="245">
      <c r="A245" s="14">
        <v>2020.0</v>
      </c>
      <c r="B245" s="14" t="s">
        <v>69</v>
      </c>
      <c r="C245" s="14">
        <v>55.815</v>
      </c>
      <c r="D245" s="19">
        <v>1.7878928E9</v>
      </c>
      <c r="E245" s="18">
        <v>6.2369522895E11</v>
      </c>
      <c r="F245" s="14">
        <v>0.16</v>
      </c>
      <c r="G245" s="14">
        <v>1.0</v>
      </c>
      <c r="H245" s="18">
        <v>9.9791236632E10</v>
      </c>
      <c r="I245" s="14">
        <v>0.6</v>
      </c>
    </row>
    <row r="246">
      <c r="A246" s="14">
        <v>2020.0</v>
      </c>
      <c r="B246" s="14" t="s">
        <v>184</v>
      </c>
      <c r="C246" s="14">
        <v>1989.0</v>
      </c>
      <c r="D246" s="19">
        <v>0.0</v>
      </c>
      <c r="E246" s="18">
        <v>4.14869761098E11</v>
      </c>
      <c r="F246" s="14">
        <v>0.53</v>
      </c>
      <c r="G246" s="14">
        <v>1.0</v>
      </c>
      <c r="H246" s="18">
        <v>2.1988097338194E11</v>
      </c>
      <c r="I246" s="14">
        <v>1.32</v>
      </c>
    </row>
    <row r="247">
      <c r="A247" s="14">
        <v>2020.0</v>
      </c>
      <c r="B247" s="14" t="s">
        <v>147</v>
      </c>
      <c r="C247" s="14">
        <v>5668.5</v>
      </c>
      <c r="D247" s="19">
        <v>0.0</v>
      </c>
      <c r="E247" s="18">
        <v>5.776845158175E11</v>
      </c>
      <c r="F247" s="14">
        <v>0.71</v>
      </c>
      <c r="G247" s="14">
        <v>1.0</v>
      </c>
      <c r="H247" s="18">
        <v>4.1015600623043E11</v>
      </c>
      <c r="I247" s="14">
        <v>2.46</v>
      </c>
    </row>
    <row r="248">
      <c r="A248" s="14">
        <v>2020.0</v>
      </c>
      <c r="B248" s="14" t="s">
        <v>76</v>
      </c>
      <c r="C248" s="14">
        <v>159.57</v>
      </c>
      <c r="D248" s="19">
        <v>0.0</v>
      </c>
      <c r="E248" s="18">
        <v>3.6324538065306E11</v>
      </c>
      <c r="F248" s="14">
        <v>0.63</v>
      </c>
      <c r="G248" s="14">
        <v>1.0</v>
      </c>
      <c r="H248" s="18">
        <v>2.2884458981143E11</v>
      </c>
      <c r="I248" s="14">
        <v>1.37</v>
      </c>
    </row>
    <row r="249">
      <c r="A249" s="14">
        <v>2020.0</v>
      </c>
      <c r="B249" s="14" t="s">
        <v>74</v>
      </c>
      <c r="C249" s="14">
        <v>330.65</v>
      </c>
      <c r="D249" s="19">
        <v>0.0</v>
      </c>
      <c r="E249" s="18">
        <v>6.6076486777375E11</v>
      </c>
      <c r="F249" s="14">
        <v>0.45</v>
      </c>
      <c r="G249" s="14">
        <v>1.0</v>
      </c>
      <c r="H249" s="18">
        <v>2.9734419049819E11</v>
      </c>
      <c r="I249" s="14">
        <v>1.78</v>
      </c>
    </row>
    <row r="250">
      <c r="A250" s="14">
        <v>2020.0</v>
      </c>
      <c r="B250" s="14" t="s">
        <v>82</v>
      </c>
      <c r="C250" s="14">
        <v>209.06</v>
      </c>
      <c r="D250" s="19">
        <v>0.0</v>
      </c>
      <c r="E250" s="18">
        <v>1.2529440867944E12</v>
      </c>
      <c r="F250" s="14">
        <v>0.19</v>
      </c>
      <c r="G250" s="14">
        <v>1.0</v>
      </c>
      <c r="H250" s="18">
        <v>2.3805937649094E11</v>
      </c>
      <c r="I250" s="14">
        <v>1.43</v>
      </c>
    </row>
    <row r="251">
      <c r="A251" s="14">
        <v>2020.0</v>
      </c>
      <c r="B251" s="14" t="s">
        <v>130</v>
      </c>
      <c r="C251" s="14">
        <v>1259.2</v>
      </c>
      <c r="D251" s="19">
        <v>6.3762426E8</v>
      </c>
      <c r="E251" s="18">
        <v>3.8233165152E12</v>
      </c>
      <c r="F251" s="14">
        <v>0.21</v>
      </c>
      <c r="G251" s="14">
        <v>1.0</v>
      </c>
      <c r="H251" s="18">
        <v>8.02896468192E11</v>
      </c>
      <c r="I251" s="14">
        <v>4.81</v>
      </c>
    </row>
    <row r="252">
      <c r="A252" s="14">
        <v>2020.0</v>
      </c>
      <c r="B252" s="14" t="s">
        <v>17</v>
      </c>
      <c r="C252" s="14">
        <v>3316.0</v>
      </c>
      <c r="D252" s="19">
        <v>0.0</v>
      </c>
      <c r="E252" s="18">
        <v>5.94327190664E11</v>
      </c>
      <c r="F252" s="14">
        <v>0.18</v>
      </c>
      <c r="G252" s="14">
        <v>1.0</v>
      </c>
      <c r="H252" s="18">
        <v>1.0697889431952E11</v>
      </c>
      <c r="I252" s="14">
        <v>0.64</v>
      </c>
    </row>
    <row r="253">
      <c r="A253" s="14">
        <v>2020.0</v>
      </c>
      <c r="B253" s="14" t="s">
        <v>112</v>
      </c>
      <c r="C253" s="14">
        <v>3133.0</v>
      </c>
      <c r="D253" s="19">
        <v>3.2375E7</v>
      </c>
      <c r="E253" s="18">
        <v>4.057235E11</v>
      </c>
      <c r="F253" s="14">
        <v>0.25</v>
      </c>
      <c r="G253" s="14">
        <v>1.0</v>
      </c>
      <c r="H253" s="18">
        <v>1.01430875E11</v>
      </c>
      <c r="I253" s="14">
        <v>0.61</v>
      </c>
    </row>
    <row r="254">
      <c r="A254" s="14">
        <v>2020.0</v>
      </c>
      <c r="B254" s="14" t="s">
        <v>86</v>
      </c>
      <c r="C254" s="14">
        <v>597.9</v>
      </c>
      <c r="D254" s="19">
        <v>0.0</v>
      </c>
      <c r="E254" s="18">
        <v>3.949113619776E11</v>
      </c>
      <c r="F254" s="14">
        <v>0.18</v>
      </c>
      <c r="G254" s="14">
        <v>1.0</v>
      </c>
      <c r="H254" s="18">
        <v>7.108404515597E10</v>
      </c>
      <c r="I254" s="14">
        <v>0.43</v>
      </c>
    </row>
    <row r="255">
      <c r="A255" s="14">
        <v>2020.0</v>
      </c>
      <c r="B255" s="14" t="s">
        <v>88</v>
      </c>
      <c r="C255" s="14">
        <v>15225.0</v>
      </c>
      <c r="D255" s="19">
        <v>0.0</v>
      </c>
      <c r="E255" s="18">
        <v>2.0441250039E12</v>
      </c>
      <c r="F255" s="14">
        <v>0.21</v>
      </c>
      <c r="G255" s="14">
        <v>1.0</v>
      </c>
      <c r="H255" s="18">
        <v>4.29266250819E11</v>
      </c>
      <c r="I255" s="14">
        <v>2.57</v>
      </c>
    </row>
    <row r="256">
      <c r="A256" s="14">
        <v>2020.0</v>
      </c>
      <c r="B256" s="14" t="s">
        <v>183</v>
      </c>
      <c r="C256" s="14">
        <v>31.15</v>
      </c>
      <c r="D256" s="19">
        <v>0.0</v>
      </c>
      <c r="E256" s="18">
        <v>1.2322282027895E11</v>
      </c>
      <c r="F256" s="14">
        <v>0.65</v>
      </c>
      <c r="G256" s="14">
        <v>1.0</v>
      </c>
      <c r="H256" s="18">
        <v>8.009483318132E10</v>
      </c>
      <c r="I256" s="14">
        <v>0.48</v>
      </c>
    </row>
    <row r="257">
      <c r="A257" s="14">
        <v>2020.0</v>
      </c>
      <c r="B257" s="14" t="s">
        <v>157</v>
      </c>
      <c r="C257" s="14">
        <v>1735.0</v>
      </c>
      <c r="D257" s="19">
        <v>3.3499078E8</v>
      </c>
      <c r="E257" s="18">
        <v>8.1860423E11</v>
      </c>
      <c r="F257" s="14">
        <v>0.71</v>
      </c>
      <c r="G257" s="14">
        <v>1.0</v>
      </c>
      <c r="H257" s="18">
        <v>5.812090033E11</v>
      </c>
      <c r="I257" s="14">
        <v>3.48</v>
      </c>
    </row>
    <row r="258">
      <c r="A258" s="14">
        <v>2020.0</v>
      </c>
      <c r="B258" s="14" t="s">
        <v>167</v>
      </c>
      <c r="C258" s="14">
        <v>761.0</v>
      </c>
      <c r="D258" s="19">
        <v>0.0</v>
      </c>
      <c r="E258" s="18">
        <v>3.9181802577E10</v>
      </c>
      <c r="F258" s="14">
        <v>0.57</v>
      </c>
      <c r="G258" s="14">
        <v>1.0</v>
      </c>
      <c r="H258" s="18">
        <v>2.233362746889E10</v>
      </c>
      <c r="I258" s="14">
        <v>0.13</v>
      </c>
    </row>
    <row r="259">
      <c r="A259" s="14">
        <v>2020.0</v>
      </c>
      <c r="B259" s="14" t="s">
        <v>132</v>
      </c>
      <c r="C259" s="14">
        <v>435.2</v>
      </c>
      <c r="D259" s="19">
        <v>0.0</v>
      </c>
      <c r="E259" s="18">
        <v>4.6123269859584E12</v>
      </c>
      <c r="F259" s="14">
        <v>0.11</v>
      </c>
      <c r="G259" s="14">
        <v>1.0</v>
      </c>
      <c r="H259" s="18">
        <v>5.0735596845542E11</v>
      </c>
      <c r="I259" s="14">
        <v>3.04</v>
      </c>
    </row>
    <row r="260">
      <c r="A260" s="14">
        <v>2020.0</v>
      </c>
      <c r="B260" s="14" t="s">
        <v>185</v>
      </c>
      <c r="C260" s="14">
        <v>1.753</v>
      </c>
      <c r="D260" s="19">
        <v>0.0</v>
      </c>
      <c r="E260" s="18">
        <v>3.4854524759217E11</v>
      </c>
      <c r="F260" s="14">
        <v>0.11</v>
      </c>
      <c r="G260" s="14">
        <v>1.0</v>
      </c>
      <c r="H260" s="18">
        <v>3.833997723514E10</v>
      </c>
      <c r="I260" s="14">
        <v>0.23</v>
      </c>
    </row>
    <row r="261">
      <c r="A261" s="14">
        <v>2020.0</v>
      </c>
      <c r="B261" s="14" t="s">
        <v>90</v>
      </c>
      <c r="C261" s="14">
        <v>96.73</v>
      </c>
      <c r="D261" s="19">
        <v>0.0</v>
      </c>
      <c r="E261" s="18">
        <v>3.1756438967217E11</v>
      </c>
      <c r="F261" s="14">
        <v>0.29</v>
      </c>
      <c r="G261" s="14">
        <v>1.0</v>
      </c>
      <c r="H261" s="18">
        <v>9.209367300493E10</v>
      </c>
      <c r="I261" s="14">
        <v>0.55</v>
      </c>
    </row>
    <row r="262">
      <c r="A262" s="14">
        <v>2020.0</v>
      </c>
      <c r="B262" s="14" t="s">
        <v>21</v>
      </c>
      <c r="C262" s="14">
        <v>35.41</v>
      </c>
      <c r="D262" s="19">
        <v>0.0</v>
      </c>
      <c r="E262" s="18">
        <v>5.3798465626342E11</v>
      </c>
      <c r="F262" s="14">
        <v>0.16</v>
      </c>
      <c r="G262" s="14">
        <v>1.0</v>
      </c>
      <c r="H262" s="18">
        <v>8.607754500215E10</v>
      </c>
      <c r="I262" s="14">
        <v>0.52</v>
      </c>
    </row>
    <row r="263">
      <c r="A263" s="14">
        <v>2020.0</v>
      </c>
      <c r="B263" s="14" t="s">
        <v>93</v>
      </c>
      <c r="C263" s="14">
        <v>271.1</v>
      </c>
      <c r="D263" s="19">
        <v>0.0</v>
      </c>
      <c r="E263" s="18">
        <v>5.8522216028E12</v>
      </c>
      <c r="F263" s="14">
        <v>0.48</v>
      </c>
      <c r="G263" s="14">
        <v>0.8406341</v>
      </c>
      <c r="H263" s="18">
        <v>2.36139697923377E12</v>
      </c>
      <c r="I263" s="14">
        <v>14.14</v>
      </c>
    </row>
    <row r="264">
      <c r="A264" s="14">
        <v>2020.0</v>
      </c>
      <c r="B264" s="14" t="s">
        <v>94</v>
      </c>
      <c r="C264" s="14">
        <v>240.72</v>
      </c>
      <c r="D264" s="19">
        <v>8.406341E8</v>
      </c>
      <c r="E264" s="18">
        <v>2.4072E11</v>
      </c>
      <c r="F264" s="14">
        <v>1.0</v>
      </c>
      <c r="G264" s="14">
        <v>0.8406341</v>
      </c>
      <c r="H264" s="18">
        <v>2.02357440552E11</v>
      </c>
      <c r="I264" s="14">
        <v>1.21</v>
      </c>
    </row>
    <row r="265">
      <c r="A265" s="14">
        <v>2020.0</v>
      </c>
      <c r="B265" s="14" t="s">
        <v>141</v>
      </c>
      <c r="C265" s="14">
        <v>36.13</v>
      </c>
      <c r="D265" s="19">
        <v>0.0</v>
      </c>
      <c r="E265" s="18">
        <v>1.29078018869165E12</v>
      </c>
      <c r="F265" s="14">
        <v>0.25</v>
      </c>
      <c r="G265" s="14">
        <v>1.0</v>
      </c>
      <c r="H265" s="18">
        <v>3.2269504717291E11</v>
      </c>
      <c r="I265" s="14">
        <v>1.93</v>
      </c>
    </row>
    <row r="266">
      <c r="A266" s="14">
        <v>2020.0</v>
      </c>
      <c r="B266" s="14" t="s">
        <v>142</v>
      </c>
      <c r="C266" s="14">
        <v>41.835</v>
      </c>
      <c r="D266" s="19">
        <v>0.0</v>
      </c>
      <c r="E266" s="18">
        <v>3.2221309616123E11</v>
      </c>
      <c r="F266" s="14">
        <v>0.73</v>
      </c>
      <c r="G266" s="14">
        <v>1.0</v>
      </c>
      <c r="H266" s="18">
        <v>2.3521556019769E11</v>
      </c>
      <c r="I266" s="14">
        <v>1.41</v>
      </c>
    </row>
    <row r="267">
      <c r="A267" s="14">
        <v>2020.0</v>
      </c>
      <c r="B267" s="14" t="s">
        <v>136</v>
      </c>
      <c r="C267" s="14">
        <v>512.2</v>
      </c>
      <c r="D267" s="19">
        <v>6.97181024E8</v>
      </c>
      <c r="E267" s="18">
        <v>1.11592537654E12</v>
      </c>
      <c r="F267" s="14">
        <v>0.32</v>
      </c>
      <c r="G267" s="14">
        <v>1.0</v>
      </c>
      <c r="H267" s="18">
        <v>3.570961204928E11</v>
      </c>
      <c r="I267" s="14">
        <v>2.14</v>
      </c>
    </row>
    <row r="268">
      <c r="A268" s="14">
        <v>2020.0</v>
      </c>
      <c r="B268" s="14" t="s">
        <v>137</v>
      </c>
      <c r="C268" s="14">
        <v>475.0</v>
      </c>
      <c r="D268" s="19">
        <v>1.475085E8</v>
      </c>
      <c r="E268" s="18">
        <v>7.00665375E10</v>
      </c>
      <c r="F268" s="14">
        <v>1.0</v>
      </c>
      <c r="G268" s="14">
        <v>1.0</v>
      </c>
      <c r="H268" s="18">
        <v>7.00665375E10</v>
      </c>
      <c r="I268" s="14">
        <v>0.42</v>
      </c>
    </row>
    <row r="269">
      <c r="A269" s="14">
        <v>2020.0</v>
      </c>
      <c r="B269" s="14" t="s">
        <v>180</v>
      </c>
      <c r="C269" s="14">
        <v>2366.2</v>
      </c>
      <c r="D269" s="19">
        <v>0.0</v>
      </c>
      <c r="E269" s="18">
        <v>2.822669983416E11</v>
      </c>
      <c r="F269" s="14">
        <v>0.89</v>
      </c>
      <c r="G269" s="14">
        <v>1.0</v>
      </c>
      <c r="H269" s="18">
        <v>2.5121762852402E11</v>
      </c>
      <c r="I269" s="14">
        <v>1.5</v>
      </c>
    </row>
    <row r="270">
      <c r="A270" s="14">
        <v>2020.0</v>
      </c>
      <c r="B270" s="14" t="s">
        <v>104</v>
      </c>
      <c r="C270" s="14">
        <v>140350.0</v>
      </c>
      <c r="D270" s="19">
        <v>0.0</v>
      </c>
      <c r="E270" s="18">
        <v>2.1822670625E11</v>
      </c>
      <c r="F270" s="14">
        <v>0.37</v>
      </c>
      <c r="G270" s="14">
        <v>1.0</v>
      </c>
      <c r="H270" s="18">
        <v>8.07438813125E10</v>
      </c>
      <c r="I270" s="14">
        <v>0.48</v>
      </c>
    </row>
    <row r="271">
      <c r="A271" s="14">
        <v>2020.0</v>
      </c>
      <c r="B271" s="14" t="s">
        <v>118</v>
      </c>
      <c r="C271" s="14">
        <v>2.791</v>
      </c>
      <c r="D271" s="19">
        <v>0.0</v>
      </c>
      <c r="E271" s="18">
        <v>1.759689388507E11</v>
      </c>
      <c r="F271" s="14">
        <v>0.16</v>
      </c>
      <c r="G271" s="14">
        <v>1.0</v>
      </c>
      <c r="H271" s="18">
        <v>2.815503021611E10</v>
      </c>
      <c r="I271" s="14">
        <v>0.17</v>
      </c>
    </row>
    <row r="272">
      <c r="A272" s="14">
        <v>2020.0</v>
      </c>
      <c r="B272" s="14" t="s">
        <v>9</v>
      </c>
      <c r="C272" s="14">
        <v>0.0377</v>
      </c>
      <c r="D272" s="19">
        <v>0.0</v>
      </c>
      <c r="E272" s="18">
        <v>4.8861240841764E11</v>
      </c>
      <c r="F272" s="14">
        <v>0.27</v>
      </c>
      <c r="G272" s="14">
        <v>1.0</v>
      </c>
      <c r="H272" s="18">
        <v>1.3192535027276E11</v>
      </c>
      <c r="I272" s="14">
        <v>0.79</v>
      </c>
    </row>
    <row r="273">
      <c r="A273" s="14">
        <v>2020.0</v>
      </c>
      <c r="B273" s="14" t="s">
        <v>181</v>
      </c>
      <c r="C273" s="14">
        <v>5156.8</v>
      </c>
      <c r="D273" s="19">
        <v>0.0</v>
      </c>
      <c r="E273" s="18">
        <v>1.6523958941072E12</v>
      </c>
      <c r="F273" s="14">
        <v>0.97</v>
      </c>
      <c r="G273" s="14">
        <v>0.897251</v>
      </c>
      <c r="H273" s="18">
        <v>1.43813545233191E12</v>
      </c>
      <c r="I273" s="14">
        <v>8.61</v>
      </c>
    </row>
    <row r="274">
      <c r="A274" s="14">
        <v>2019.0</v>
      </c>
      <c r="B274" s="14" t="s">
        <v>37</v>
      </c>
      <c r="C274" s="14">
        <v>15.236</v>
      </c>
      <c r="D274" s="19">
        <v>3.1845E9</v>
      </c>
      <c r="E274" s="18">
        <v>1.470274E11</v>
      </c>
      <c r="F274" s="14">
        <v>0.33</v>
      </c>
      <c r="G274" s="14">
        <v>1.0</v>
      </c>
      <c r="H274" s="18">
        <v>4.8519042E10</v>
      </c>
      <c r="I274" s="14">
        <v>0.41</v>
      </c>
    </row>
    <row r="275">
      <c r="A275" s="14">
        <v>2019.0</v>
      </c>
      <c r="B275" s="14" t="s">
        <v>39</v>
      </c>
      <c r="C275" s="14">
        <v>103.5</v>
      </c>
      <c r="D275" s="19">
        <v>0.0</v>
      </c>
      <c r="E275" s="18">
        <v>1.14948786946E11</v>
      </c>
      <c r="F275" s="14">
        <v>0.41</v>
      </c>
      <c r="G275" s="14">
        <v>1.0</v>
      </c>
      <c r="H275" s="18">
        <v>4.71290026481E10</v>
      </c>
      <c r="I275" s="14">
        <v>0.4</v>
      </c>
    </row>
    <row r="276">
      <c r="A276" s="14">
        <v>2019.0</v>
      </c>
      <c r="B276" s="14" t="s">
        <v>7</v>
      </c>
      <c r="C276" s="14">
        <v>84.32</v>
      </c>
      <c r="D276" s="19">
        <v>0.0</v>
      </c>
      <c r="E276" s="18">
        <v>6.21013901922E11</v>
      </c>
      <c r="F276" s="14">
        <v>0.34</v>
      </c>
      <c r="G276" s="14">
        <v>1.0</v>
      </c>
      <c r="H276" s="18">
        <v>2.11144726653E11</v>
      </c>
      <c r="I276" s="14">
        <v>1.79</v>
      </c>
    </row>
    <row r="277">
      <c r="A277" s="14">
        <v>2019.0</v>
      </c>
      <c r="B277" s="14" t="s">
        <v>4</v>
      </c>
      <c r="C277" s="14">
        <v>5.879</v>
      </c>
      <c r="D277" s="19">
        <v>0.0</v>
      </c>
      <c r="E277" s="18">
        <v>1.75368864302E11</v>
      </c>
      <c r="F277" s="14">
        <v>0.2</v>
      </c>
      <c r="G277" s="14">
        <v>1.0</v>
      </c>
      <c r="H277" s="18">
        <v>3.50737728604E10</v>
      </c>
      <c r="I277" s="14">
        <v>0.3</v>
      </c>
    </row>
    <row r="278">
      <c r="A278" s="14">
        <v>2019.0</v>
      </c>
      <c r="B278" s="14" t="s">
        <v>96</v>
      </c>
      <c r="C278" s="14">
        <v>937.6</v>
      </c>
      <c r="D278" s="19">
        <v>1.67543732E8</v>
      </c>
      <c r="E278" s="18">
        <v>7.85445015616E11</v>
      </c>
      <c r="F278" s="14">
        <v>0.2</v>
      </c>
      <c r="G278" s="14">
        <v>1.0</v>
      </c>
      <c r="H278" s="18">
        <v>1.57089003123E11</v>
      </c>
      <c r="I278" s="14">
        <v>1.33</v>
      </c>
    </row>
    <row r="279">
      <c r="A279" s="14">
        <v>2019.0</v>
      </c>
      <c r="B279" s="14" t="s">
        <v>164</v>
      </c>
      <c r="C279" s="14">
        <v>100.0</v>
      </c>
      <c r="D279" s="19">
        <v>2.5126E8</v>
      </c>
      <c r="E279" s="18">
        <v>7.39E10</v>
      </c>
      <c r="F279" s="14">
        <v>0.34</v>
      </c>
      <c r="G279" s="14">
        <v>1.0</v>
      </c>
      <c r="H279" s="18">
        <v>2.5126E10</v>
      </c>
      <c r="I279" s="14">
        <v>0.21</v>
      </c>
    </row>
    <row r="280">
      <c r="A280" s="14">
        <v>2019.0</v>
      </c>
      <c r="B280" s="14" t="s">
        <v>108</v>
      </c>
      <c r="C280" s="14">
        <v>0.20064</v>
      </c>
      <c r="D280" s="19">
        <v>2.29439758151E11</v>
      </c>
      <c r="E280" s="18">
        <v>2.55748850419E11</v>
      </c>
      <c r="F280" s="14">
        <v>0.18</v>
      </c>
      <c r="G280" s="14">
        <v>1.0</v>
      </c>
      <c r="H280" s="18">
        <v>4.60347930755E10</v>
      </c>
      <c r="I280" s="14">
        <v>0.39</v>
      </c>
    </row>
    <row r="281">
      <c r="A281" s="14">
        <v>2019.0</v>
      </c>
      <c r="B281" s="14" t="s">
        <v>166</v>
      </c>
      <c r="C281" s="14">
        <v>2134.5</v>
      </c>
      <c r="D281" s="19">
        <v>0.0</v>
      </c>
      <c r="E281" s="18">
        <v>5.79672295284E11</v>
      </c>
      <c r="F281" s="14">
        <v>0.41</v>
      </c>
      <c r="G281" s="14">
        <v>1.0</v>
      </c>
      <c r="H281" s="18">
        <v>2.37665641066E11</v>
      </c>
      <c r="I281" s="14">
        <v>2.02</v>
      </c>
    </row>
    <row r="282">
      <c r="A282" s="14">
        <v>2019.0</v>
      </c>
      <c r="B282" s="14" t="s">
        <v>43</v>
      </c>
      <c r="C282" s="14">
        <v>256.4</v>
      </c>
      <c r="D282" s="19">
        <v>0.0</v>
      </c>
      <c r="E282" s="18">
        <v>6.06988870756E12</v>
      </c>
      <c r="F282" s="14">
        <v>0.46</v>
      </c>
      <c r="G282" s="14">
        <v>0.6068594</v>
      </c>
      <c r="H282" s="18">
        <v>1.6944417488E12</v>
      </c>
      <c r="I282" s="14">
        <v>14.37</v>
      </c>
    </row>
    <row r="283">
      <c r="A283" s="14">
        <v>2019.0</v>
      </c>
      <c r="B283" s="14" t="s">
        <v>45</v>
      </c>
      <c r="C283" s="14">
        <v>19102.0</v>
      </c>
      <c r="D283" s="19">
        <v>0.0</v>
      </c>
      <c r="E283" s="18">
        <v>3.02280508255E12</v>
      </c>
      <c r="F283" s="14">
        <v>0.38</v>
      </c>
      <c r="G283" s="14">
        <v>0.6749094</v>
      </c>
      <c r="H283" s="18">
        <v>7.75245434542E11</v>
      </c>
      <c r="I283" s="14">
        <v>6.57</v>
      </c>
    </row>
    <row r="284">
      <c r="A284" s="14">
        <v>2019.0</v>
      </c>
      <c r="B284" s="14" t="s">
        <v>106</v>
      </c>
      <c r="C284" s="14">
        <v>0.5553</v>
      </c>
      <c r="D284" s="19">
        <v>0.0</v>
      </c>
      <c r="E284" s="18">
        <v>2.36718178165E11</v>
      </c>
      <c r="F284" s="14">
        <v>0.19</v>
      </c>
      <c r="G284" s="14">
        <v>1.0</v>
      </c>
      <c r="H284" s="18">
        <v>4.49764538513E10</v>
      </c>
      <c r="I284" s="14">
        <v>0.38</v>
      </c>
    </row>
    <row r="285">
      <c r="A285" s="14">
        <v>2019.0</v>
      </c>
      <c r="B285" s="14" t="s">
        <v>59</v>
      </c>
      <c r="C285" s="14">
        <v>5.042</v>
      </c>
      <c r="D285" s="19">
        <v>3.4452E10</v>
      </c>
      <c r="E285" s="18">
        <v>5.263848E11</v>
      </c>
      <c r="F285" s="14">
        <v>0.33</v>
      </c>
      <c r="G285" s="14">
        <v>1.0</v>
      </c>
      <c r="H285" s="18">
        <v>1.73706984E11</v>
      </c>
      <c r="I285" s="14">
        <v>1.47</v>
      </c>
    </row>
    <row r="286">
      <c r="A286" s="14">
        <v>2019.0</v>
      </c>
      <c r="B286" s="14" t="s">
        <v>78</v>
      </c>
      <c r="C286" s="14">
        <v>6169.0</v>
      </c>
      <c r="D286" s="19">
        <v>0.0</v>
      </c>
      <c r="E286" s="18">
        <v>4.410835E12</v>
      </c>
      <c r="F286" s="14">
        <v>0.54</v>
      </c>
      <c r="G286" s="14">
        <v>0.6749094</v>
      </c>
      <c r="H286" s="18">
        <v>1.60753356181E12</v>
      </c>
      <c r="I286" s="14">
        <v>13.63</v>
      </c>
    </row>
    <row r="287">
      <c r="A287" s="14">
        <v>2019.0</v>
      </c>
      <c r="B287" s="14" t="s">
        <v>186</v>
      </c>
      <c r="C287" s="14">
        <v>192.0</v>
      </c>
      <c r="D287" s="19">
        <v>0.0</v>
      </c>
      <c r="E287" s="18">
        <v>9.368249472E10</v>
      </c>
      <c r="F287" s="14">
        <v>0.21</v>
      </c>
      <c r="G287" s="14">
        <v>1.0</v>
      </c>
      <c r="H287" s="18">
        <v>1.96733238912E10</v>
      </c>
      <c r="I287" s="14">
        <v>0.17</v>
      </c>
    </row>
    <row r="288">
      <c r="A288" s="14">
        <v>2019.0</v>
      </c>
      <c r="B288" s="14" t="s">
        <v>49</v>
      </c>
      <c r="C288" s="14">
        <v>764.0</v>
      </c>
      <c r="D288" s="19">
        <v>0.0</v>
      </c>
      <c r="E288" s="18">
        <v>7.871508426E10</v>
      </c>
      <c r="F288" s="14">
        <v>0.42</v>
      </c>
      <c r="G288" s="14">
        <v>1.0</v>
      </c>
      <c r="H288" s="18">
        <v>3.30603353892E10</v>
      </c>
      <c r="I288" s="14">
        <v>0.28</v>
      </c>
    </row>
    <row r="289">
      <c r="A289" s="14">
        <v>2019.0</v>
      </c>
      <c r="B289" s="14" t="s">
        <v>69</v>
      </c>
      <c r="C289" s="14">
        <v>41.95</v>
      </c>
      <c r="D289" s="19">
        <v>1.7878928E9</v>
      </c>
      <c r="E289" s="18">
        <v>4.687631435E11</v>
      </c>
      <c r="F289" s="14">
        <v>0.16</v>
      </c>
      <c r="G289" s="14">
        <v>1.0</v>
      </c>
      <c r="H289" s="18">
        <v>7.500210296E10</v>
      </c>
      <c r="I289" s="14">
        <v>0.64</v>
      </c>
    </row>
    <row r="290">
      <c r="A290" s="14">
        <v>2019.0</v>
      </c>
      <c r="B290" s="14" t="s">
        <v>147</v>
      </c>
      <c r="C290" s="14">
        <v>3425.0</v>
      </c>
      <c r="D290" s="19">
        <v>0.0</v>
      </c>
      <c r="E290" s="18">
        <v>3.49046390875E11</v>
      </c>
      <c r="F290" s="14">
        <v>0.71</v>
      </c>
      <c r="G290" s="14">
        <v>1.0</v>
      </c>
      <c r="H290" s="18">
        <v>2.47822937521E11</v>
      </c>
      <c r="I290" s="14">
        <v>2.1</v>
      </c>
    </row>
    <row r="291">
      <c r="A291" s="14">
        <v>2019.0</v>
      </c>
      <c r="B291" s="14" t="s">
        <v>76</v>
      </c>
      <c r="C291" s="14">
        <v>107.75</v>
      </c>
      <c r="D291" s="19">
        <v>0.0</v>
      </c>
      <c r="E291" s="18">
        <v>2.452822571E11</v>
      </c>
      <c r="F291" s="14">
        <v>0.58</v>
      </c>
      <c r="G291" s="14">
        <v>1.0</v>
      </c>
      <c r="H291" s="18">
        <v>1.42263709118E11</v>
      </c>
      <c r="I291" s="14">
        <v>1.21</v>
      </c>
    </row>
    <row r="292">
      <c r="A292" s="14">
        <v>2019.0</v>
      </c>
      <c r="B292" s="14" t="s">
        <v>74</v>
      </c>
      <c r="C292" s="14">
        <v>319.95</v>
      </c>
      <c r="D292" s="19">
        <v>0.0</v>
      </c>
      <c r="E292" s="18">
        <v>6.39382184921E11</v>
      </c>
      <c r="F292" s="14">
        <v>0.45</v>
      </c>
      <c r="G292" s="14">
        <v>1.0</v>
      </c>
      <c r="H292" s="18">
        <v>2.87721983215E11</v>
      </c>
      <c r="I292" s="14">
        <v>2.44</v>
      </c>
    </row>
    <row r="293">
      <c r="A293" s="14">
        <v>2019.0</v>
      </c>
      <c r="B293" s="14" t="s">
        <v>82</v>
      </c>
      <c r="C293" s="14">
        <v>143.72</v>
      </c>
      <c r="D293" s="19">
        <v>0.0</v>
      </c>
      <c r="E293" s="18">
        <v>8.61346618933E11</v>
      </c>
      <c r="F293" s="14">
        <v>0.19</v>
      </c>
      <c r="G293" s="14">
        <v>1.0</v>
      </c>
      <c r="H293" s="18">
        <v>1.63655857597E11</v>
      </c>
      <c r="I293" s="14">
        <v>1.39</v>
      </c>
    </row>
    <row r="294">
      <c r="A294" s="14">
        <v>2019.0</v>
      </c>
      <c r="B294" s="14" t="s">
        <v>130</v>
      </c>
      <c r="C294" s="14">
        <v>1262.0</v>
      </c>
      <c r="D294" s="19">
        <v>0.0</v>
      </c>
      <c r="E294" s="18">
        <v>3.831818172E12</v>
      </c>
      <c r="F294" s="14">
        <v>0.21</v>
      </c>
      <c r="G294" s="14">
        <v>0.6749094</v>
      </c>
      <c r="H294" s="18">
        <v>5.43087321708E11</v>
      </c>
      <c r="I294" s="14">
        <v>4.61</v>
      </c>
    </row>
    <row r="295">
      <c r="A295" s="14">
        <v>2019.0</v>
      </c>
      <c r="B295" s="14" t="s">
        <v>112</v>
      </c>
      <c r="C295" s="14">
        <v>2408.0</v>
      </c>
      <c r="D295" s="19">
        <v>3.2375E7</v>
      </c>
      <c r="E295" s="18">
        <v>3.11836E11</v>
      </c>
      <c r="F295" s="14">
        <v>0.25</v>
      </c>
      <c r="G295" s="14">
        <v>1.0</v>
      </c>
      <c r="H295" s="18">
        <v>7.7959E10</v>
      </c>
      <c r="I295" s="14">
        <v>0.66</v>
      </c>
    </row>
    <row r="296">
      <c r="A296" s="14">
        <v>2019.0</v>
      </c>
      <c r="B296" s="14" t="s">
        <v>86</v>
      </c>
      <c r="C296" s="14">
        <v>400.4</v>
      </c>
      <c r="D296" s="19">
        <v>0.0</v>
      </c>
      <c r="E296" s="18">
        <v>2.64463136538E11</v>
      </c>
      <c r="F296" s="14">
        <v>0.18</v>
      </c>
      <c r="G296" s="14">
        <v>1.0</v>
      </c>
      <c r="H296" s="18">
        <v>4.76033645768E10</v>
      </c>
      <c r="I296" s="14">
        <v>0.4</v>
      </c>
    </row>
    <row r="297">
      <c r="A297" s="14">
        <v>2019.0</v>
      </c>
      <c r="B297" s="14" t="s">
        <v>88</v>
      </c>
      <c r="C297" s="14">
        <v>7103.5</v>
      </c>
      <c r="D297" s="19">
        <v>0.0</v>
      </c>
      <c r="E297" s="18">
        <v>9.48751408816E11</v>
      </c>
      <c r="F297" s="14">
        <v>0.21</v>
      </c>
      <c r="G297" s="14">
        <v>1.0</v>
      </c>
      <c r="H297" s="18">
        <v>1.99237795851E11</v>
      </c>
      <c r="I297" s="14">
        <v>1.69</v>
      </c>
    </row>
    <row r="298">
      <c r="A298" s="14">
        <v>2019.0</v>
      </c>
      <c r="B298" s="14" t="s">
        <v>157</v>
      </c>
      <c r="C298" s="14">
        <v>971.0</v>
      </c>
      <c r="D298" s="19">
        <v>0.0</v>
      </c>
      <c r="E298" s="18">
        <v>4.56552743171E11</v>
      </c>
      <c r="F298" s="14">
        <v>0.45</v>
      </c>
      <c r="G298" s="14">
        <v>1.0</v>
      </c>
      <c r="H298" s="18">
        <v>2.05448734427E11</v>
      </c>
      <c r="I298" s="14">
        <v>1.74</v>
      </c>
    </row>
    <row r="299">
      <c r="A299" s="14">
        <v>2019.0</v>
      </c>
      <c r="B299" s="14" t="s">
        <v>132</v>
      </c>
      <c r="C299" s="14">
        <v>449.7</v>
      </c>
      <c r="D299" s="19">
        <v>0.0</v>
      </c>
      <c r="E299" s="18">
        <v>4.7660005643E12</v>
      </c>
      <c r="F299" s="14">
        <v>0.11</v>
      </c>
      <c r="G299" s="14">
        <v>1.0</v>
      </c>
      <c r="H299" s="18">
        <v>5.24260062074E11</v>
      </c>
      <c r="I299" s="14">
        <v>4.45</v>
      </c>
    </row>
    <row r="300">
      <c r="A300" s="14">
        <v>2019.0</v>
      </c>
      <c r="B300" s="14" t="s">
        <v>90</v>
      </c>
      <c r="C300" s="14">
        <v>78.36</v>
      </c>
      <c r="D300" s="19">
        <v>0.0</v>
      </c>
      <c r="E300" s="18">
        <v>2.01770335795E11</v>
      </c>
      <c r="F300" s="14">
        <v>0.32</v>
      </c>
      <c r="G300" s="14">
        <v>1.0</v>
      </c>
      <c r="H300" s="18">
        <v>6.45665074545E10</v>
      </c>
      <c r="I300" s="14">
        <v>0.55</v>
      </c>
    </row>
    <row r="301">
      <c r="A301" s="14">
        <v>2019.0</v>
      </c>
      <c r="B301" s="14" t="s">
        <v>21</v>
      </c>
      <c r="C301" s="14">
        <v>30.8</v>
      </c>
      <c r="D301" s="19">
        <v>0.0</v>
      </c>
      <c r="E301" s="18">
        <v>4.6794485775E11</v>
      </c>
      <c r="F301" s="14">
        <v>0.16</v>
      </c>
      <c r="G301" s="14">
        <v>1.0</v>
      </c>
      <c r="H301" s="18">
        <v>7.48711772399E10</v>
      </c>
      <c r="I301" s="14">
        <v>0.63</v>
      </c>
    </row>
    <row r="302">
      <c r="A302" s="14">
        <v>2019.0</v>
      </c>
      <c r="B302" s="14" t="s">
        <v>93</v>
      </c>
      <c r="C302" s="14">
        <v>254.75</v>
      </c>
      <c r="D302" s="19">
        <v>0.0</v>
      </c>
      <c r="E302" s="18">
        <v>5.499275003E12</v>
      </c>
      <c r="F302" s="14">
        <v>0.48</v>
      </c>
      <c r="G302" s="14">
        <v>0.6454362</v>
      </c>
      <c r="H302" s="18">
        <v>1.70372695793E12</v>
      </c>
      <c r="I302" s="14">
        <v>14.45</v>
      </c>
    </row>
    <row r="303">
      <c r="A303" s="14">
        <v>2019.0</v>
      </c>
      <c r="B303" s="14" t="s">
        <v>94</v>
      </c>
      <c r="C303" s="14">
        <v>228.3</v>
      </c>
      <c r="D303" s="19">
        <v>6.454362E8</v>
      </c>
      <c r="E303" s="18">
        <v>2.283E11</v>
      </c>
      <c r="F303" s="14">
        <v>1.0</v>
      </c>
      <c r="G303" s="14">
        <v>0.6454362</v>
      </c>
      <c r="H303" s="18">
        <v>1.4735308446E11</v>
      </c>
      <c r="I303" s="14">
        <v>1.25</v>
      </c>
    </row>
    <row r="304">
      <c r="A304" s="14">
        <v>2019.0</v>
      </c>
      <c r="B304" s="14" t="s">
        <v>141</v>
      </c>
      <c r="C304" s="14">
        <v>50.47</v>
      </c>
      <c r="D304" s="19">
        <v>0.0</v>
      </c>
      <c r="E304" s="18">
        <v>1.80309095276E12</v>
      </c>
      <c r="F304" s="14">
        <v>0.25</v>
      </c>
      <c r="G304" s="14">
        <v>0.9140466</v>
      </c>
      <c r="H304" s="18">
        <v>4.12027288716E11</v>
      </c>
      <c r="I304" s="14">
        <v>3.49</v>
      </c>
    </row>
    <row r="305">
      <c r="A305" s="14">
        <v>2019.0</v>
      </c>
      <c r="B305" s="14" t="s">
        <v>142</v>
      </c>
      <c r="C305" s="14">
        <v>37.725</v>
      </c>
      <c r="D305" s="19">
        <v>0.0</v>
      </c>
      <c r="E305" s="18">
        <v>2.90557883415E11</v>
      </c>
      <c r="F305" s="14">
        <v>0.73</v>
      </c>
      <c r="G305" s="14">
        <v>0.9140466</v>
      </c>
      <c r="H305" s="18">
        <v>1.9387591517E11</v>
      </c>
      <c r="I305" s="14">
        <v>1.64</v>
      </c>
    </row>
    <row r="306">
      <c r="A306" s="14">
        <v>2019.0</v>
      </c>
      <c r="B306" s="14" t="s">
        <v>136</v>
      </c>
      <c r="C306" s="14">
        <v>759.7</v>
      </c>
      <c r="D306" s="19">
        <v>0.0</v>
      </c>
      <c r="E306" s="18">
        <v>1.65515132479E12</v>
      </c>
      <c r="F306" s="14">
        <v>0.32</v>
      </c>
      <c r="G306" s="14">
        <v>0.8827402</v>
      </c>
      <c r="H306" s="18">
        <v>4.67541955672E11</v>
      </c>
      <c r="I306" s="14">
        <v>3.96</v>
      </c>
    </row>
    <row r="307">
      <c r="A307" s="14">
        <v>2019.0</v>
      </c>
      <c r="B307" s="14" t="s">
        <v>137</v>
      </c>
      <c r="C307" s="14">
        <v>734.0</v>
      </c>
      <c r="D307" s="19">
        <v>0.0</v>
      </c>
      <c r="E307" s="18">
        <v>1.08271239E11</v>
      </c>
      <c r="F307" s="14">
        <v>1.0</v>
      </c>
      <c r="G307" s="14">
        <v>0.8827402</v>
      </c>
      <c r="H307" s="18">
        <v>9.55753751691E10</v>
      </c>
      <c r="I307" s="14">
        <v>0.81</v>
      </c>
    </row>
    <row r="308">
      <c r="A308" s="14">
        <v>2019.0</v>
      </c>
      <c r="B308" s="14" t="s">
        <v>180</v>
      </c>
      <c r="C308" s="14">
        <v>1311.2</v>
      </c>
      <c r="D308" s="19">
        <v>0.0</v>
      </c>
      <c r="E308" s="18">
        <v>1.56414710602E11</v>
      </c>
      <c r="F308" s="14">
        <v>0.89</v>
      </c>
      <c r="G308" s="14">
        <v>1.0</v>
      </c>
      <c r="H308" s="18">
        <v>1.39209092435E11</v>
      </c>
      <c r="I308" s="14">
        <v>1.18</v>
      </c>
    </row>
    <row r="309">
      <c r="A309" s="14">
        <v>2019.0</v>
      </c>
      <c r="B309" s="14" t="s">
        <v>104</v>
      </c>
      <c r="C309" s="14">
        <v>176750.0</v>
      </c>
      <c r="D309" s="19">
        <v>497560.0</v>
      </c>
      <c r="E309" s="18">
        <v>2.7482415625E11</v>
      </c>
      <c r="F309" s="14">
        <v>0.32</v>
      </c>
      <c r="G309" s="14">
        <v>1.0</v>
      </c>
      <c r="H309" s="18">
        <v>8.794373E10</v>
      </c>
      <c r="I309" s="14">
        <v>0.75</v>
      </c>
    </row>
    <row r="310">
      <c r="A310" s="14">
        <v>2019.0</v>
      </c>
      <c r="B310" s="14" t="s">
        <v>118</v>
      </c>
      <c r="C310" s="14">
        <v>2.78</v>
      </c>
      <c r="D310" s="19">
        <v>0.0</v>
      </c>
      <c r="E310" s="18">
        <v>1.75275403083E11</v>
      </c>
      <c r="F310" s="14">
        <v>0.16</v>
      </c>
      <c r="G310" s="14">
        <v>1.0</v>
      </c>
      <c r="H310" s="18">
        <v>2.80440644933E10</v>
      </c>
      <c r="I310" s="14">
        <v>0.24</v>
      </c>
    </row>
    <row r="311">
      <c r="A311" s="14">
        <v>2019.0</v>
      </c>
      <c r="B311" s="14" t="s">
        <v>9</v>
      </c>
      <c r="C311" s="14">
        <v>0.0459</v>
      </c>
      <c r="D311" s="19">
        <v>3.49934616108E12</v>
      </c>
      <c r="E311" s="18">
        <v>5.94888847384E11</v>
      </c>
      <c r="F311" s="14">
        <v>0.27</v>
      </c>
      <c r="G311" s="14">
        <v>1.0</v>
      </c>
      <c r="H311" s="18">
        <v>1.60619988794E11</v>
      </c>
      <c r="I311" s="14">
        <v>1.36</v>
      </c>
    </row>
    <row r="312">
      <c r="A312" s="14">
        <v>2019.0</v>
      </c>
      <c r="B312" s="14" t="s">
        <v>181</v>
      </c>
      <c r="C312" s="14">
        <v>2697.0</v>
      </c>
      <c r="D312" s="19">
        <v>0.0</v>
      </c>
      <c r="E312" s="18">
        <v>7.89135875535E11</v>
      </c>
      <c r="F312" s="14">
        <v>0.96</v>
      </c>
      <c r="G312" s="14">
        <v>0.7211309</v>
      </c>
      <c r="H312" s="18">
        <v>5.46307453581E11</v>
      </c>
      <c r="I312" s="14">
        <v>4.63</v>
      </c>
    </row>
    <row r="313">
      <c r="A313" s="14">
        <v>2018.0</v>
      </c>
      <c r="B313" s="14" t="s">
        <v>37</v>
      </c>
      <c r="C313" s="14">
        <v>7.999</v>
      </c>
      <c r="D313" s="19">
        <v>3.474E9</v>
      </c>
      <c r="E313" s="18">
        <v>7.719035E10</v>
      </c>
      <c r="F313" s="14">
        <v>0.36</v>
      </c>
      <c r="G313" s="14">
        <v>1.0</v>
      </c>
      <c r="H313" s="18">
        <v>2.7788526E10</v>
      </c>
      <c r="I313" s="14">
        <v>0.28</v>
      </c>
    </row>
    <row r="314">
      <c r="A314" s="14">
        <v>2018.0</v>
      </c>
      <c r="B314" s="14" t="s">
        <v>39</v>
      </c>
      <c r="C314" s="14">
        <v>101.18</v>
      </c>
      <c r="D314" s="19">
        <v>0.0</v>
      </c>
      <c r="E314" s="18">
        <v>1.12372157133E11</v>
      </c>
      <c r="F314" s="14">
        <v>0.45</v>
      </c>
      <c r="G314" s="14">
        <v>1.0</v>
      </c>
      <c r="H314" s="18">
        <v>5.05674707098E10</v>
      </c>
      <c r="I314" s="14">
        <v>0.52</v>
      </c>
    </row>
    <row r="315">
      <c r="A315" s="14">
        <v>2018.0</v>
      </c>
      <c r="B315" s="14" t="s">
        <v>7</v>
      </c>
      <c r="C315" s="14">
        <v>98.62</v>
      </c>
      <c r="D315" s="19">
        <v>0.0</v>
      </c>
      <c r="E315" s="18">
        <v>7.26332910431E11</v>
      </c>
      <c r="F315" s="14">
        <v>0.34</v>
      </c>
      <c r="G315" s="14">
        <v>1.0</v>
      </c>
      <c r="H315" s="18">
        <v>2.46953189546E11</v>
      </c>
      <c r="I315" s="14">
        <v>2.52</v>
      </c>
    </row>
    <row r="316">
      <c r="A316" s="14">
        <v>2018.0</v>
      </c>
      <c r="B316" s="14" t="s">
        <v>4</v>
      </c>
      <c r="C316" s="14">
        <v>5.17</v>
      </c>
      <c r="D316" s="19">
        <v>0.0</v>
      </c>
      <c r="E316" s="18">
        <v>1.40002100007E11</v>
      </c>
      <c r="F316" s="14">
        <v>0.18</v>
      </c>
      <c r="G316" s="14">
        <v>1.0</v>
      </c>
      <c r="H316" s="18">
        <v>2.52003780013E10</v>
      </c>
      <c r="I316" s="14">
        <v>0.26</v>
      </c>
    </row>
    <row r="317">
      <c r="A317" s="14">
        <v>2018.0</v>
      </c>
      <c r="B317" s="14" t="s">
        <v>96</v>
      </c>
      <c r="C317" s="14">
        <v>942.9</v>
      </c>
      <c r="D317" s="19">
        <v>1.67543732E8</v>
      </c>
      <c r="E317" s="18">
        <v>7.89884924514E11</v>
      </c>
      <c r="F317" s="14">
        <v>0.2</v>
      </c>
      <c r="G317" s="14">
        <v>1.0</v>
      </c>
      <c r="H317" s="18">
        <v>1.57976984903E11</v>
      </c>
      <c r="I317" s="14">
        <v>1.61</v>
      </c>
    </row>
    <row r="318">
      <c r="A318" s="14">
        <v>2018.0</v>
      </c>
      <c r="B318" s="14" t="s">
        <v>164</v>
      </c>
      <c r="C318" s="14">
        <v>90.44</v>
      </c>
      <c r="D318" s="19">
        <v>2.5126E8</v>
      </c>
      <c r="E318" s="18">
        <v>6.683516E10</v>
      </c>
      <c r="F318" s="14">
        <v>0.34</v>
      </c>
      <c r="G318" s="14">
        <v>1.0</v>
      </c>
      <c r="H318" s="18">
        <v>2.27239544E10</v>
      </c>
      <c r="I318" s="14">
        <v>0.23</v>
      </c>
    </row>
    <row r="319">
      <c r="A319" s="14">
        <v>2018.0</v>
      </c>
      <c r="B319" s="14" t="s">
        <v>108</v>
      </c>
      <c r="C319" s="14">
        <v>0.14812</v>
      </c>
      <c r="D319" s="19">
        <v>2.29439758151E11</v>
      </c>
      <c r="E319" s="18">
        <v>1.88803427652E11</v>
      </c>
      <c r="F319" s="14">
        <v>0.18</v>
      </c>
      <c r="G319" s="14">
        <v>1.0</v>
      </c>
      <c r="H319" s="18">
        <v>3.39846169774E10</v>
      </c>
      <c r="I319" s="14">
        <v>0.35</v>
      </c>
    </row>
    <row r="320">
      <c r="A320" s="14">
        <v>2018.0</v>
      </c>
      <c r="B320" s="14" t="s">
        <v>166</v>
      </c>
      <c r="C320" s="14">
        <v>1725.0</v>
      </c>
      <c r="D320" s="19">
        <v>0.0</v>
      </c>
      <c r="E320" s="18">
        <v>4.684632042E11</v>
      </c>
      <c r="F320" s="14">
        <v>0.41</v>
      </c>
      <c r="G320" s="14">
        <v>1.0</v>
      </c>
      <c r="H320" s="18">
        <v>1.92069913722E11</v>
      </c>
      <c r="I320" s="14">
        <v>1.96</v>
      </c>
    </row>
    <row r="321">
      <c r="A321" s="14">
        <v>2018.0</v>
      </c>
      <c r="B321" s="14" t="s">
        <v>43</v>
      </c>
      <c r="C321" s="14">
        <v>153.5</v>
      </c>
      <c r="D321" s="19">
        <v>0.0</v>
      </c>
      <c r="E321" s="18">
        <v>3.63388423015E12</v>
      </c>
      <c r="F321" s="14">
        <v>0.46</v>
      </c>
      <c r="G321" s="14">
        <v>0.7408153</v>
      </c>
      <c r="H321" s="18">
        <v>1.23833703662E12</v>
      </c>
      <c r="I321" s="14">
        <v>12.62</v>
      </c>
    </row>
    <row r="322">
      <c r="A322" s="14">
        <v>2018.0</v>
      </c>
      <c r="B322" s="14" t="s">
        <v>45</v>
      </c>
      <c r="C322" s="14">
        <v>13039.0</v>
      </c>
      <c r="D322" s="19">
        <v>0.0</v>
      </c>
      <c r="E322" s="18">
        <v>2.06336276156E12</v>
      </c>
      <c r="F322" s="14">
        <v>0.38</v>
      </c>
      <c r="G322" s="14">
        <v>0.7408153</v>
      </c>
      <c r="H322" s="18">
        <v>5.80856867222E11</v>
      </c>
      <c r="I322" s="14">
        <v>5.92</v>
      </c>
    </row>
    <row r="323">
      <c r="A323" s="14">
        <v>2018.0</v>
      </c>
      <c r="B323" s="14" t="s">
        <v>106</v>
      </c>
      <c r="C323" s="14">
        <v>0.4858</v>
      </c>
      <c r="D323" s="19">
        <v>0.0</v>
      </c>
      <c r="E323" s="18">
        <v>2.07091105623E11</v>
      </c>
      <c r="F323" s="14">
        <v>0.19</v>
      </c>
      <c r="G323" s="14">
        <v>1.0</v>
      </c>
      <c r="H323" s="18">
        <v>3.93473100684E10</v>
      </c>
      <c r="I323" s="14">
        <v>0.4</v>
      </c>
    </row>
    <row r="324">
      <c r="A324" s="14">
        <v>2018.0</v>
      </c>
      <c r="B324" s="14" t="s">
        <v>59</v>
      </c>
      <c r="C324" s="14">
        <v>3.8795</v>
      </c>
      <c r="D324" s="19">
        <v>3.4452E10</v>
      </c>
      <c r="E324" s="18">
        <v>4.050198E11</v>
      </c>
      <c r="F324" s="14">
        <v>0.33</v>
      </c>
      <c r="G324" s="14">
        <v>1.0</v>
      </c>
      <c r="H324" s="18">
        <v>1.33656534E11</v>
      </c>
      <c r="I324" s="14">
        <v>1.36</v>
      </c>
    </row>
    <row r="325">
      <c r="A325" s="14">
        <v>2018.0</v>
      </c>
      <c r="B325" s="14" t="s">
        <v>78</v>
      </c>
      <c r="C325" s="14">
        <v>4997.0</v>
      </c>
      <c r="D325" s="19">
        <v>0.0</v>
      </c>
      <c r="E325" s="18">
        <v>3.74775E12</v>
      </c>
      <c r="F325" s="14">
        <v>0.55</v>
      </c>
      <c r="G325" s="14">
        <v>0.7359298</v>
      </c>
      <c r="H325" s="18">
        <v>1.51694449937E12</v>
      </c>
      <c r="I325" s="14">
        <v>15.46</v>
      </c>
    </row>
    <row r="326">
      <c r="A326" s="14">
        <v>2018.0</v>
      </c>
      <c r="B326" s="14" t="s">
        <v>186</v>
      </c>
      <c r="C326" s="14">
        <v>214.0</v>
      </c>
      <c r="D326" s="19">
        <v>0.0</v>
      </c>
      <c r="E326" s="18">
        <v>1.0433384355E11</v>
      </c>
      <c r="F326" s="14">
        <v>0.58</v>
      </c>
      <c r="G326" s="14">
        <v>0.5</v>
      </c>
      <c r="H326" s="18">
        <v>3.02568146295E10</v>
      </c>
      <c r="I326" s="14">
        <v>0.31</v>
      </c>
    </row>
    <row r="327">
      <c r="A327" s="14">
        <v>2018.0</v>
      </c>
      <c r="B327" s="14" t="s">
        <v>69</v>
      </c>
      <c r="C327" s="14">
        <v>43.04</v>
      </c>
      <c r="D327" s="19">
        <v>1.7878928E9</v>
      </c>
      <c r="E327" s="18">
        <v>4.809431632E11</v>
      </c>
      <c r="F327" s="14">
        <v>0.16</v>
      </c>
      <c r="G327" s="14">
        <v>1.0</v>
      </c>
      <c r="H327" s="18">
        <v>7.6950906112E10</v>
      </c>
      <c r="I327" s="14">
        <v>0.78</v>
      </c>
    </row>
    <row r="328">
      <c r="A328" s="14">
        <v>2018.0</v>
      </c>
      <c r="B328" s="14" t="s">
        <v>147</v>
      </c>
      <c r="C328" s="14">
        <v>3511.5</v>
      </c>
      <c r="D328" s="19">
        <v>0.0</v>
      </c>
      <c r="E328" s="18">
        <v>3.57861723082E11</v>
      </c>
      <c r="F328" s="14">
        <v>0.71</v>
      </c>
      <c r="G328" s="14">
        <v>1.0</v>
      </c>
      <c r="H328" s="18">
        <v>2.54081823389E11</v>
      </c>
      <c r="I328" s="14">
        <v>2.59</v>
      </c>
    </row>
    <row r="329">
      <c r="A329" s="14">
        <v>2018.0</v>
      </c>
      <c r="B329" s="14" t="s">
        <v>76</v>
      </c>
      <c r="C329" s="14">
        <v>81.0</v>
      </c>
      <c r="D329" s="19">
        <v>0.0</v>
      </c>
      <c r="E329" s="18">
        <v>1.84388518098E11</v>
      </c>
      <c r="F329" s="14">
        <v>0.58</v>
      </c>
      <c r="G329" s="14">
        <v>1.0</v>
      </c>
      <c r="H329" s="18">
        <v>1.06945340497E11</v>
      </c>
      <c r="I329" s="14">
        <v>1.09</v>
      </c>
    </row>
    <row r="330">
      <c r="A330" s="14">
        <v>2018.0</v>
      </c>
      <c r="B330" s="14" t="s">
        <v>71</v>
      </c>
      <c r="C330" s="14">
        <v>73.47</v>
      </c>
      <c r="D330" s="19">
        <v>0.0</v>
      </c>
      <c r="E330" s="18">
        <v>3.05834116352E10</v>
      </c>
      <c r="F330" s="14">
        <v>0.5</v>
      </c>
      <c r="G330" s="14">
        <v>1.0</v>
      </c>
      <c r="H330" s="18">
        <v>1.52917058176E10</v>
      </c>
      <c r="I330" s="14">
        <v>0.16</v>
      </c>
    </row>
    <row r="331">
      <c r="A331" s="14">
        <v>2018.0</v>
      </c>
      <c r="B331" s="14" t="s">
        <v>74</v>
      </c>
      <c r="C331" s="14">
        <v>238.0</v>
      </c>
      <c r="D331" s="19">
        <v>0.0</v>
      </c>
      <c r="E331" s="18">
        <v>4.7561481485E11</v>
      </c>
      <c r="F331" s="14">
        <v>0.45</v>
      </c>
      <c r="G331" s="14">
        <v>1.0</v>
      </c>
      <c r="H331" s="18">
        <v>2.140266666825E11</v>
      </c>
      <c r="I331" s="14">
        <v>2.18</v>
      </c>
    </row>
    <row r="332">
      <c r="A332" s="14">
        <v>2018.0</v>
      </c>
      <c r="B332" s="14" t="s">
        <v>65</v>
      </c>
      <c r="C332" s="14">
        <v>410.0</v>
      </c>
      <c r="D332" s="19">
        <v>0.0</v>
      </c>
      <c r="E332" s="18">
        <v>7.370497307E10</v>
      </c>
      <c r="F332" s="14">
        <v>0.32</v>
      </c>
      <c r="G332" s="14">
        <v>1.0</v>
      </c>
      <c r="H332" s="18">
        <v>2.35855913824E10</v>
      </c>
      <c r="I332" s="14">
        <v>0.24</v>
      </c>
    </row>
    <row r="333">
      <c r="A333" s="14">
        <v>2018.0</v>
      </c>
      <c r="B333" s="14" t="s">
        <v>82</v>
      </c>
      <c r="C333" s="14">
        <v>157.42</v>
      </c>
      <c r="D333" s="19">
        <v>0.0</v>
      </c>
      <c r="E333" s="18">
        <v>9.43453832121E11</v>
      </c>
      <c r="F333" s="14">
        <v>0.16</v>
      </c>
      <c r="G333" s="14">
        <v>1.0</v>
      </c>
      <c r="H333" s="18">
        <v>1.50952613139E11</v>
      </c>
      <c r="I333" s="14">
        <v>1.54</v>
      </c>
    </row>
    <row r="334">
      <c r="A334" s="14">
        <v>2018.0</v>
      </c>
      <c r="B334" s="14" t="s">
        <v>130</v>
      </c>
      <c r="C334" s="14">
        <v>1132.0</v>
      </c>
      <c r="D334" s="19">
        <v>0.0</v>
      </c>
      <c r="E334" s="18">
        <v>3.437098392E12</v>
      </c>
      <c r="F334" s="14">
        <v>0.24</v>
      </c>
      <c r="G334" s="14">
        <v>0.7408153</v>
      </c>
      <c r="H334" s="18">
        <v>6.11101218336E11</v>
      </c>
      <c r="I334" s="14">
        <v>6.23</v>
      </c>
    </row>
    <row r="335">
      <c r="A335" s="14">
        <v>2018.0</v>
      </c>
      <c r="B335" s="14" t="s">
        <v>112</v>
      </c>
      <c r="C335" s="14">
        <v>2546.0</v>
      </c>
      <c r="D335" s="19">
        <v>3.2375E7</v>
      </c>
      <c r="E335" s="18">
        <v>3.29707E11</v>
      </c>
      <c r="F335" s="14">
        <v>0.25</v>
      </c>
      <c r="G335" s="14">
        <v>1.0</v>
      </c>
      <c r="H335" s="18">
        <v>8.242675E10</v>
      </c>
      <c r="I335" s="14">
        <v>0.84</v>
      </c>
    </row>
    <row r="336">
      <c r="A336" s="14">
        <v>2018.0</v>
      </c>
      <c r="B336" s="14" t="s">
        <v>86</v>
      </c>
      <c r="C336" s="14">
        <v>376.3</v>
      </c>
      <c r="D336" s="19">
        <v>0.0</v>
      </c>
      <c r="E336" s="18">
        <v>2.48545150547E11</v>
      </c>
      <c r="F336" s="14">
        <v>0.18</v>
      </c>
      <c r="G336" s="14">
        <v>1.0</v>
      </c>
      <c r="H336" s="18">
        <v>4.47381270985E10</v>
      </c>
      <c r="I336" s="14">
        <v>0.46</v>
      </c>
    </row>
    <row r="337">
      <c r="A337" s="14">
        <v>2018.0</v>
      </c>
      <c r="B337" s="14" t="s">
        <v>88</v>
      </c>
      <c r="C337" s="14">
        <v>5399.0</v>
      </c>
      <c r="D337" s="19">
        <v>0.0</v>
      </c>
      <c r="E337" s="18">
        <v>7.21096481481E11</v>
      </c>
      <c r="F337" s="14">
        <v>0.16</v>
      </c>
      <c r="G337" s="14">
        <v>1.0</v>
      </c>
      <c r="H337" s="18">
        <v>1.15375437037E11</v>
      </c>
      <c r="I337" s="14">
        <v>1.18</v>
      </c>
    </row>
    <row r="338">
      <c r="A338" s="14">
        <v>2018.0</v>
      </c>
      <c r="B338" s="14" t="s">
        <v>157</v>
      </c>
      <c r="C338" s="14">
        <v>731.2</v>
      </c>
      <c r="D338" s="19">
        <v>0.0</v>
      </c>
      <c r="E338" s="18">
        <v>3.33340720976E11</v>
      </c>
      <c r="F338" s="14">
        <v>0.38</v>
      </c>
      <c r="G338" s="14">
        <v>1.0</v>
      </c>
      <c r="H338" s="18">
        <v>1.26669473971E11</v>
      </c>
      <c r="I338" s="14">
        <v>1.29</v>
      </c>
    </row>
    <row r="339">
      <c r="A339" s="14">
        <v>2018.0</v>
      </c>
      <c r="B339" s="14" t="s">
        <v>124</v>
      </c>
      <c r="C339" s="14">
        <v>528.8</v>
      </c>
      <c r="D339" s="19">
        <v>5.8824E7</v>
      </c>
      <c r="E339" s="18">
        <v>1.55530656E11</v>
      </c>
      <c r="F339" s="14">
        <v>0.2</v>
      </c>
      <c r="G339" s="14">
        <v>1.0</v>
      </c>
      <c r="H339" s="18">
        <v>3.11061312E10</v>
      </c>
      <c r="I339" s="14">
        <v>0.32</v>
      </c>
    </row>
    <row r="340">
      <c r="A340" s="14">
        <v>2018.0</v>
      </c>
      <c r="B340" s="14" t="s">
        <v>132</v>
      </c>
      <c r="C340" s="14">
        <v>432.5</v>
      </c>
      <c r="D340" s="19">
        <v>0.0</v>
      </c>
      <c r="E340" s="18">
        <v>4.58371190585E12</v>
      </c>
      <c r="F340" s="14">
        <v>0.11</v>
      </c>
      <c r="G340" s="14">
        <v>1.0</v>
      </c>
      <c r="H340" s="18">
        <v>5.04208309644E11</v>
      </c>
      <c r="I340" s="14">
        <v>5.14</v>
      </c>
    </row>
    <row r="341">
      <c r="A341" s="14">
        <v>2018.0</v>
      </c>
      <c r="B341" s="14" t="s">
        <v>90</v>
      </c>
      <c r="C341" s="14">
        <v>73.07</v>
      </c>
      <c r="D341" s="19">
        <v>0.0</v>
      </c>
      <c r="E341" s="18">
        <v>1.88149035689E11</v>
      </c>
      <c r="F341" s="14">
        <v>0.32</v>
      </c>
      <c r="G341" s="14">
        <v>1.0</v>
      </c>
      <c r="H341" s="18">
        <v>6.02076914204E10</v>
      </c>
      <c r="I341" s="14">
        <v>0.61</v>
      </c>
    </row>
    <row r="342">
      <c r="A342" s="14">
        <v>2018.0</v>
      </c>
      <c r="B342" s="14" t="s">
        <v>21</v>
      </c>
      <c r="C342" s="14">
        <v>30.795</v>
      </c>
      <c r="D342" s="19">
        <v>0.0</v>
      </c>
      <c r="E342" s="18">
        <v>4.67868892675E11</v>
      </c>
      <c r="F342" s="14">
        <v>0.16</v>
      </c>
      <c r="G342" s="14">
        <v>1.0</v>
      </c>
      <c r="H342" s="18">
        <v>7.4859022828E10</v>
      </c>
      <c r="I342" s="14">
        <v>0.76</v>
      </c>
    </row>
    <row r="343">
      <c r="A343" s="14">
        <v>2018.0</v>
      </c>
      <c r="B343" s="14" t="s">
        <v>93</v>
      </c>
      <c r="C343" s="14">
        <v>186.3</v>
      </c>
      <c r="D343" s="19">
        <v>0.0</v>
      </c>
      <c r="E343" s="18">
        <v>4.0216484124E12</v>
      </c>
      <c r="F343" s="14">
        <v>0.48</v>
      </c>
      <c r="G343" s="14">
        <v>0.6820392</v>
      </c>
      <c r="H343" s="18">
        <v>1.31660249562E12</v>
      </c>
      <c r="I343" s="14">
        <v>13.42</v>
      </c>
    </row>
    <row r="344">
      <c r="A344" s="14">
        <v>2018.0</v>
      </c>
      <c r="B344" s="14" t="s">
        <v>94</v>
      </c>
      <c r="C344" s="14">
        <v>166.18</v>
      </c>
      <c r="D344" s="19">
        <v>6.820392E8</v>
      </c>
      <c r="E344" s="18">
        <v>1.6618E11</v>
      </c>
      <c r="F344" s="14">
        <v>1.0</v>
      </c>
      <c r="G344" s="14">
        <v>0.6820392</v>
      </c>
      <c r="H344" s="18">
        <v>1.13341274256E11</v>
      </c>
      <c r="I344" s="14">
        <v>1.16</v>
      </c>
    </row>
    <row r="345">
      <c r="A345" s="14">
        <v>2018.0</v>
      </c>
      <c r="B345" s="14" t="s">
        <v>116</v>
      </c>
      <c r="C345" s="14">
        <v>580.2</v>
      </c>
      <c r="D345" s="19">
        <v>0.0</v>
      </c>
      <c r="E345" s="18">
        <v>6.47722463382E10</v>
      </c>
      <c r="F345" s="14">
        <v>0.43</v>
      </c>
      <c r="G345" s="14">
        <v>1.0</v>
      </c>
      <c r="H345" s="18">
        <v>2.78520659254E10</v>
      </c>
      <c r="I345" s="14">
        <v>0.28</v>
      </c>
    </row>
    <row r="346">
      <c r="A346" s="14">
        <v>2018.0</v>
      </c>
      <c r="B346" s="14" t="s">
        <v>141</v>
      </c>
      <c r="C346" s="14">
        <v>26.88</v>
      </c>
      <c r="D346" s="19">
        <v>0.0</v>
      </c>
      <c r="E346" s="18">
        <v>9.6031473767E11</v>
      </c>
      <c r="F346" s="14">
        <v>0.25</v>
      </c>
      <c r="G346" s="14">
        <v>1.0</v>
      </c>
      <c r="H346" s="18">
        <v>2.40078684418E11</v>
      </c>
      <c r="I346" s="14">
        <v>2.45</v>
      </c>
    </row>
    <row r="347">
      <c r="A347" s="14">
        <v>2018.0</v>
      </c>
      <c r="B347" s="14" t="s">
        <v>142</v>
      </c>
      <c r="C347" s="14">
        <v>39.395</v>
      </c>
      <c r="D347" s="19">
        <v>0.0</v>
      </c>
      <c r="E347" s="18">
        <v>3.03420220468E11</v>
      </c>
      <c r="F347" s="14">
        <v>0.73</v>
      </c>
      <c r="G347" s="14">
        <v>1.0</v>
      </c>
      <c r="H347" s="18">
        <v>2.21496760942E11</v>
      </c>
      <c r="I347" s="14">
        <v>2.26</v>
      </c>
    </row>
    <row r="348">
      <c r="A348" s="14">
        <v>2018.0</v>
      </c>
      <c r="B348" s="14" t="s">
        <v>136</v>
      </c>
      <c r="C348" s="14">
        <v>737.9</v>
      </c>
      <c r="D348" s="19">
        <v>0.0</v>
      </c>
      <c r="E348" s="18">
        <v>1.60765586753E12</v>
      </c>
      <c r="F348" s="14">
        <v>0.32</v>
      </c>
      <c r="G348" s="14">
        <v>0.992337</v>
      </c>
      <c r="H348" s="18">
        <v>5.10507648197E11</v>
      </c>
      <c r="I348" s="14">
        <v>5.2</v>
      </c>
    </row>
    <row r="349">
      <c r="A349" s="14">
        <v>2018.0</v>
      </c>
      <c r="B349" s="14" t="s">
        <v>137</v>
      </c>
      <c r="C349" s="14">
        <v>522.0</v>
      </c>
      <c r="D349" s="19">
        <v>0.0</v>
      </c>
      <c r="E349" s="18">
        <v>7.6999437E10</v>
      </c>
      <c r="F349" s="14">
        <v>1.0</v>
      </c>
      <c r="G349" s="14">
        <v>0.992337</v>
      </c>
      <c r="H349" s="18">
        <v>7.64093903143E10</v>
      </c>
      <c r="I349" s="14">
        <v>0.78</v>
      </c>
    </row>
    <row r="350">
      <c r="A350" s="14">
        <v>2018.0</v>
      </c>
      <c r="B350" s="14" t="s">
        <v>159</v>
      </c>
      <c r="C350" s="14">
        <v>53.65</v>
      </c>
      <c r="D350" s="19">
        <v>0.0</v>
      </c>
      <c r="E350" s="18">
        <v>5.54277123859E10</v>
      </c>
      <c r="F350" s="14">
        <v>0.3</v>
      </c>
      <c r="G350" s="14">
        <v>1.0</v>
      </c>
      <c r="H350" s="18">
        <v>1.66283137158E10</v>
      </c>
      <c r="I350" s="14">
        <v>0.17</v>
      </c>
    </row>
    <row r="351">
      <c r="A351" s="14">
        <v>2018.0</v>
      </c>
      <c r="B351" s="14" t="s">
        <v>104</v>
      </c>
      <c r="C351" s="14">
        <v>171000.0</v>
      </c>
      <c r="D351" s="19">
        <v>497560.0</v>
      </c>
      <c r="E351" s="18">
        <v>2.65883625E11</v>
      </c>
      <c r="F351" s="14">
        <v>0.32</v>
      </c>
      <c r="G351" s="14">
        <v>1.0</v>
      </c>
      <c r="H351" s="18">
        <v>8.508276E10</v>
      </c>
      <c r="I351" s="14">
        <v>0.87</v>
      </c>
    </row>
    <row r="352">
      <c r="A352" s="14">
        <v>2018.0</v>
      </c>
      <c r="B352" s="14" t="s">
        <v>118</v>
      </c>
      <c r="C352" s="14">
        <v>2.6</v>
      </c>
      <c r="D352" s="19">
        <v>0.0</v>
      </c>
      <c r="E352" s="18">
        <v>1.63926635977E11</v>
      </c>
      <c r="F352" s="14">
        <v>0.16</v>
      </c>
      <c r="G352" s="14">
        <v>1.0</v>
      </c>
      <c r="H352" s="18">
        <v>2.62282617563E10</v>
      </c>
      <c r="I352" s="14">
        <v>0.27</v>
      </c>
    </row>
    <row r="353">
      <c r="A353" s="14">
        <v>2018.0</v>
      </c>
      <c r="B353" s="14" t="s">
        <v>9</v>
      </c>
      <c r="C353" s="14">
        <v>0.03385</v>
      </c>
      <c r="D353" s="19">
        <v>3.49934616108E12</v>
      </c>
      <c r="E353" s="18">
        <v>4.38714324269E11</v>
      </c>
      <c r="F353" s="14">
        <v>0.27</v>
      </c>
      <c r="G353" s="14">
        <v>1.0</v>
      </c>
      <c r="H353" s="18">
        <v>1.18452867553E11</v>
      </c>
      <c r="I353" s="14">
        <v>1.21</v>
      </c>
    </row>
    <row r="354">
      <c r="A354" s="14">
        <v>2018.0</v>
      </c>
      <c r="B354" s="14" t="s">
        <v>181</v>
      </c>
      <c r="C354" s="14">
        <v>1930.0</v>
      </c>
      <c r="D354" s="19">
        <v>0.0</v>
      </c>
      <c r="E354" s="18">
        <v>5.6440467415E11</v>
      </c>
      <c r="F354" s="14">
        <v>0.96</v>
      </c>
      <c r="G354" s="14">
        <v>0.5</v>
      </c>
      <c r="H354" s="18">
        <v>2.70914243592E11</v>
      </c>
      <c r="I354" s="14">
        <v>2.76</v>
      </c>
    </row>
    <row r="355">
      <c r="A355" s="14">
        <v>2017.0</v>
      </c>
      <c r="B355" s="14" t="s">
        <v>37</v>
      </c>
      <c r="C355" s="14">
        <v>12.09</v>
      </c>
      <c r="D355" s="19">
        <v>3.474E9</v>
      </c>
      <c r="E355" s="18">
        <v>1.166685E11</v>
      </c>
      <c r="F355" s="14">
        <v>0.36</v>
      </c>
      <c r="G355" s="14">
        <v>1.0</v>
      </c>
      <c r="H355" s="18">
        <v>4.200066E10</v>
      </c>
      <c r="I355" s="14">
        <v>0.45</v>
      </c>
    </row>
    <row r="356">
      <c r="A356" s="14">
        <v>2017.0</v>
      </c>
      <c r="B356" s="14" t="s">
        <v>39</v>
      </c>
      <c r="C356" s="14">
        <v>138.45</v>
      </c>
      <c r="D356" s="19">
        <v>0.0</v>
      </c>
      <c r="E356" s="18">
        <v>1.53764826597E11</v>
      </c>
      <c r="F356" s="14">
        <v>0.45</v>
      </c>
      <c r="G356" s="14">
        <v>1.0</v>
      </c>
      <c r="H356" s="18">
        <v>6.91941719684E10</v>
      </c>
      <c r="I356" s="14">
        <v>0.74</v>
      </c>
    </row>
    <row r="357">
      <c r="A357" s="14">
        <v>2017.0</v>
      </c>
      <c r="B357" s="14" t="s">
        <v>163</v>
      </c>
      <c r="C357" s="14">
        <v>568.5</v>
      </c>
      <c r="D357" s="19">
        <v>0.0</v>
      </c>
      <c r="E357" s="18">
        <v>7.76949990525E10</v>
      </c>
      <c r="F357" s="14">
        <v>0.21</v>
      </c>
      <c r="G357" s="14">
        <v>1.0</v>
      </c>
      <c r="H357" s="18">
        <v>1.6315949801E10</v>
      </c>
      <c r="I357" s="14">
        <v>0.18</v>
      </c>
    </row>
    <row r="358">
      <c r="A358" s="14">
        <v>2017.0</v>
      </c>
      <c r="B358" s="14" t="s">
        <v>7</v>
      </c>
      <c r="C358" s="14">
        <v>75.06</v>
      </c>
      <c r="D358" s="19">
        <v>0.0</v>
      </c>
      <c r="E358" s="18">
        <v>5.52814320188E11</v>
      </c>
      <c r="F358" s="14">
        <v>0.34</v>
      </c>
      <c r="G358" s="14">
        <v>1.0</v>
      </c>
      <c r="H358" s="18">
        <v>1.87956868864E11</v>
      </c>
      <c r="I358" s="14">
        <v>2.02</v>
      </c>
    </row>
    <row r="359">
      <c r="A359" s="14">
        <v>2017.0</v>
      </c>
      <c r="B359" s="14" t="s">
        <v>4</v>
      </c>
      <c r="C359" s="14">
        <v>4.742</v>
      </c>
      <c r="D359" s="19">
        <v>0.0</v>
      </c>
      <c r="E359" s="18">
        <v>1.28411984185E11</v>
      </c>
      <c r="F359" s="14">
        <v>0.23</v>
      </c>
      <c r="G359" s="14">
        <v>1.0</v>
      </c>
      <c r="H359" s="18">
        <v>2.95347563625E10</v>
      </c>
      <c r="I359" s="14">
        <v>0.32</v>
      </c>
    </row>
    <row r="360">
      <c r="A360" s="14">
        <v>2017.0</v>
      </c>
      <c r="B360" s="14" t="s">
        <v>96</v>
      </c>
      <c r="C360" s="14">
        <v>887.4</v>
      </c>
      <c r="D360" s="19">
        <v>0.0</v>
      </c>
      <c r="E360" s="18">
        <v>7.43391538884E11</v>
      </c>
      <c r="F360" s="14">
        <v>0.18</v>
      </c>
      <c r="G360" s="14">
        <v>1.0</v>
      </c>
      <c r="H360" s="18">
        <v>1.33810476999E11</v>
      </c>
      <c r="I360" s="14">
        <v>1.44</v>
      </c>
    </row>
    <row r="361">
      <c r="A361" s="14">
        <v>2017.0</v>
      </c>
      <c r="B361" s="14" t="s">
        <v>164</v>
      </c>
      <c r="C361" s="14">
        <v>95.95</v>
      </c>
      <c r="D361" s="19">
        <v>2.5126E8</v>
      </c>
      <c r="E361" s="18">
        <v>7.090705E10</v>
      </c>
      <c r="F361" s="14">
        <v>0.34</v>
      </c>
      <c r="G361" s="14">
        <v>1.0</v>
      </c>
      <c r="H361" s="18">
        <v>2.4108397E10</v>
      </c>
      <c r="I361" s="14">
        <v>0.26</v>
      </c>
    </row>
    <row r="362">
      <c r="A362" s="14">
        <v>2017.0</v>
      </c>
      <c r="B362" s="14" t="s">
        <v>165</v>
      </c>
      <c r="C362" s="14">
        <v>737.0</v>
      </c>
      <c r="D362" s="19">
        <v>0.0</v>
      </c>
      <c r="E362" s="18">
        <v>8.2277051967E10</v>
      </c>
      <c r="F362" s="14">
        <v>0.29</v>
      </c>
      <c r="G362" s="14">
        <v>1.0</v>
      </c>
      <c r="H362" s="18">
        <v>2.38603450704E10</v>
      </c>
      <c r="I362" s="14">
        <v>0.26</v>
      </c>
    </row>
    <row r="363">
      <c r="A363" s="14">
        <v>2017.0</v>
      </c>
      <c r="B363" s="14" t="s">
        <v>108</v>
      </c>
      <c r="C363" s="14">
        <v>0.16205</v>
      </c>
      <c r="D363" s="19">
        <v>2.29439758151E11</v>
      </c>
      <c r="E363" s="18">
        <v>2.06559515602E11</v>
      </c>
      <c r="F363" s="14">
        <v>0.18</v>
      </c>
      <c r="G363" s="14">
        <v>1.0</v>
      </c>
      <c r="H363" s="18">
        <v>3.71807128084E10</v>
      </c>
      <c r="I363" s="14">
        <v>0.4</v>
      </c>
    </row>
    <row r="364">
      <c r="A364" s="14">
        <v>2017.0</v>
      </c>
      <c r="B364" s="14" t="s">
        <v>43</v>
      </c>
      <c r="C364" s="14">
        <v>130.5</v>
      </c>
      <c r="D364" s="19">
        <v>0.0</v>
      </c>
      <c r="E364" s="18">
        <v>3.08939343345E12</v>
      </c>
      <c r="F364" s="14">
        <v>0.46</v>
      </c>
      <c r="G364" s="14">
        <v>0.9614159</v>
      </c>
      <c r="H364" s="18">
        <v>1.36628830541E12</v>
      </c>
      <c r="I364" s="14">
        <v>14.69</v>
      </c>
    </row>
    <row r="365">
      <c r="A365" s="14">
        <v>2017.0</v>
      </c>
      <c r="B365" s="14" t="s">
        <v>45</v>
      </c>
      <c r="C365" s="14">
        <v>10850.0</v>
      </c>
      <c r="D365" s="19">
        <v>0.0</v>
      </c>
      <c r="E365" s="18">
        <v>1.7169634146E12</v>
      </c>
      <c r="F365" s="14">
        <v>0.38</v>
      </c>
      <c r="G365" s="14">
        <v>0.9614159</v>
      </c>
      <c r="H365" s="18">
        <v>6.27272052076E11</v>
      </c>
      <c r="I365" s="14">
        <v>6.74</v>
      </c>
    </row>
    <row r="366">
      <c r="A366" s="14">
        <v>2017.0</v>
      </c>
      <c r="B366" s="14" t="s">
        <v>106</v>
      </c>
      <c r="C366" s="14">
        <v>0.7289</v>
      </c>
      <c r="D366" s="19">
        <v>1.06572203388E11</v>
      </c>
      <c r="E366" s="18">
        <v>3.10721916197E11</v>
      </c>
      <c r="F366" s="14">
        <v>0.25</v>
      </c>
      <c r="G366" s="14">
        <v>1.0</v>
      </c>
      <c r="H366" s="18">
        <v>7.76804790493E10</v>
      </c>
      <c r="I366" s="14">
        <v>0.84</v>
      </c>
    </row>
    <row r="367">
      <c r="A367" s="14">
        <v>2017.0</v>
      </c>
      <c r="B367" s="14" t="s">
        <v>59</v>
      </c>
      <c r="C367" s="14">
        <v>3.4</v>
      </c>
      <c r="D367" s="19">
        <v>3.0276E10</v>
      </c>
      <c r="E367" s="18">
        <v>3.5496E11</v>
      </c>
      <c r="F367" s="14">
        <v>0.29</v>
      </c>
      <c r="G367" s="14">
        <v>1.0</v>
      </c>
      <c r="H367" s="18">
        <v>1.029384E11</v>
      </c>
      <c r="I367" s="14">
        <v>1.11</v>
      </c>
    </row>
    <row r="368">
      <c r="A368" s="14">
        <v>2017.0</v>
      </c>
      <c r="B368" s="14" t="s">
        <v>78</v>
      </c>
      <c r="C368" s="14">
        <v>3334.5</v>
      </c>
      <c r="D368" s="19">
        <v>0.0</v>
      </c>
      <c r="E368" s="18">
        <v>2.8362031738E12</v>
      </c>
      <c r="F368" s="14">
        <v>0.46</v>
      </c>
      <c r="G368" s="14">
        <v>0.9614159</v>
      </c>
      <c r="H368" s="18">
        <v>1.25431458038E12</v>
      </c>
      <c r="I368" s="14">
        <v>13.48</v>
      </c>
    </row>
    <row r="369">
      <c r="A369" s="14">
        <v>2017.0</v>
      </c>
      <c r="B369" s="14" t="s">
        <v>69</v>
      </c>
      <c r="C369" s="14">
        <v>41.86</v>
      </c>
      <c r="D369" s="19">
        <v>1.7878928E9</v>
      </c>
      <c r="E369" s="18">
        <v>4.677574538E11</v>
      </c>
      <c r="F369" s="14">
        <v>0.16</v>
      </c>
      <c r="G369" s="14">
        <v>1.0</v>
      </c>
      <c r="H369" s="18">
        <v>7.4841192608E10</v>
      </c>
      <c r="I369" s="14">
        <v>0.8</v>
      </c>
    </row>
    <row r="370">
      <c r="A370" s="14">
        <v>2017.0</v>
      </c>
      <c r="B370" s="14" t="s">
        <v>162</v>
      </c>
      <c r="C370" s="14">
        <v>512.9</v>
      </c>
      <c r="D370" s="19">
        <v>1.302E8</v>
      </c>
      <c r="E370" s="18">
        <v>3.17998E11</v>
      </c>
      <c r="F370" s="14">
        <v>0.21</v>
      </c>
      <c r="G370" s="14">
        <v>1.0</v>
      </c>
      <c r="H370" s="18">
        <v>6.677958E10</v>
      </c>
      <c r="I370" s="14">
        <v>0.72</v>
      </c>
    </row>
    <row r="371">
      <c r="A371" s="14">
        <v>2017.0</v>
      </c>
      <c r="B371" s="14" t="s">
        <v>147</v>
      </c>
      <c r="C371" s="14">
        <v>6340.0</v>
      </c>
      <c r="D371" s="19">
        <v>0.0</v>
      </c>
      <c r="E371" s="18">
        <v>5.995189907E11</v>
      </c>
      <c r="F371" s="14">
        <v>0.69</v>
      </c>
      <c r="G371" s="14">
        <v>1.0</v>
      </c>
      <c r="H371" s="18">
        <v>4.13668103583E11</v>
      </c>
      <c r="I371" s="14">
        <v>4.45</v>
      </c>
    </row>
    <row r="372">
      <c r="A372" s="14">
        <v>2017.0</v>
      </c>
      <c r="B372" s="14" t="s">
        <v>76</v>
      </c>
      <c r="C372" s="14">
        <v>108.97</v>
      </c>
      <c r="D372" s="19">
        <v>0.0</v>
      </c>
      <c r="E372" s="18">
        <v>2.48059466878E11</v>
      </c>
      <c r="F372" s="14">
        <v>0.58</v>
      </c>
      <c r="G372" s="14">
        <v>1.0</v>
      </c>
      <c r="H372" s="18">
        <v>1.43874490789E11</v>
      </c>
      <c r="I372" s="14">
        <v>1.55</v>
      </c>
    </row>
    <row r="373">
      <c r="A373" s="14">
        <v>2017.0</v>
      </c>
      <c r="B373" s="14" t="s">
        <v>71</v>
      </c>
      <c r="C373" s="14">
        <v>147.75</v>
      </c>
      <c r="D373" s="19">
        <v>0.0</v>
      </c>
      <c r="E373" s="18">
        <v>6.15040025738E10</v>
      </c>
      <c r="F373" s="14">
        <v>0.5</v>
      </c>
      <c r="G373" s="14">
        <v>1.0</v>
      </c>
      <c r="H373" s="18">
        <v>3.07520012869E10</v>
      </c>
      <c r="I373" s="14">
        <v>0.33</v>
      </c>
    </row>
    <row r="374">
      <c r="A374" s="14">
        <v>2017.0</v>
      </c>
      <c r="B374" s="14" t="s">
        <v>74</v>
      </c>
      <c r="C374" s="14">
        <v>276.0</v>
      </c>
      <c r="D374" s="19">
        <v>9.59223156E8</v>
      </c>
      <c r="E374" s="18">
        <v>5.515533147E11</v>
      </c>
      <c r="F374" s="14">
        <v>0.48</v>
      </c>
      <c r="G374" s="14">
        <v>1.0</v>
      </c>
      <c r="H374" s="18">
        <v>2.64745591056E11</v>
      </c>
      <c r="I374" s="14">
        <v>2.85</v>
      </c>
    </row>
    <row r="375">
      <c r="A375" s="14">
        <v>2017.0</v>
      </c>
      <c r="B375" s="14" t="s">
        <v>65</v>
      </c>
      <c r="C375" s="14">
        <v>415.0</v>
      </c>
      <c r="D375" s="19">
        <v>0.0</v>
      </c>
      <c r="E375" s="18">
        <v>7.4603814205E10</v>
      </c>
      <c r="F375" s="14">
        <v>0.27</v>
      </c>
      <c r="G375" s="14">
        <v>1.0</v>
      </c>
      <c r="H375" s="18">
        <v>2.01430298353E10</v>
      </c>
      <c r="I375" s="14">
        <v>0.22</v>
      </c>
    </row>
    <row r="376">
      <c r="A376" s="14">
        <v>2017.0</v>
      </c>
      <c r="B376" s="14" t="s">
        <v>82</v>
      </c>
      <c r="C376" s="14">
        <v>147.22</v>
      </c>
      <c r="D376" s="19">
        <v>0.0</v>
      </c>
      <c r="E376" s="18">
        <v>8.82322914273E11</v>
      </c>
      <c r="F376" s="14">
        <v>0.16</v>
      </c>
      <c r="G376" s="14">
        <v>1.0</v>
      </c>
      <c r="H376" s="18">
        <v>1.41171666284E11</v>
      </c>
      <c r="I376" s="14">
        <v>1.52</v>
      </c>
    </row>
    <row r="377">
      <c r="A377" s="14">
        <v>2017.0</v>
      </c>
      <c r="B377" s="14" t="s">
        <v>153</v>
      </c>
      <c r="C377" s="14">
        <v>7.85</v>
      </c>
      <c r="D377" s="19">
        <v>2.88897231E9</v>
      </c>
      <c r="E377" s="18">
        <v>1.5118955089E11</v>
      </c>
      <c r="F377" s="14">
        <v>0.15</v>
      </c>
      <c r="G377" s="14">
        <v>1.0</v>
      </c>
      <c r="H377" s="18">
        <v>2.26784326335E10</v>
      </c>
      <c r="I377" s="14">
        <v>0.24</v>
      </c>
    </row>
    <row r="378">
      <c r="A378" s="14">
        <v>2017.0</v>
      </c>
      <c r="B378" s="14" t="s">
        <v>130</v>
      </c>
      <c r="C378" s="14">
        <v>677.7</v>
      </c>
      <c r="D378" s="19">
        <v>0.0</v>
      </c>
      <c r="E378" s="18">
        <v>2.0577045762E12</v>
      </c>
      <c r="F378" s="14">
        <v>0.27</v>
      </c>
      <c r="G378" s="14">
        <v>0.9614159</v>
      </c>
      <c r="H378" s="18">
        <v>5.34143672207E11</v>
      </c>
      <c r="I378" s="14">
        <v>5.74</v>
      </c>
    </row>
    <row r="379">
      <c r="A379" s="14">
        <v>2017.0</v>
      </c>
      <c r="B379" s="14" t="s">
        <v>112</v>
      </c>
      <c r="C379" s="14">
        <v>2499.0</v>
      </c>
      <c r="D379" s="19">
        <v>3.2375E7</v>
      </c>
      <c r="E379" s="18">
        <v>3.236205E11</v>
      </c>
      <c r="F379" s="14">
        <v>0.25</v>
      </c>
      <c r="G379" s="14">
        <v>1.0</v>
      </c>
      <c r="H379" s="18">
        <v>8.0905125E10</v>
      </c>
      <c r="I379" s="14">
        <v>0.87</v>
      </c>
    </row>
    <row r="380">
      <c r="A380" s="14">
        <v>2017.0</v>
      </c>
      <c r="B380" s="14" t="s">
        <v>86</v>
      </c>
      <c r="C380" s="14">
        <v>326.5</v>
      </c>
      <c r="D380" s="19">
        <v>0.0</v>
      </c>
      <c r="E380" s="18">
        <v>2.15652382816E11</v>
      </c>
      <c r="F380" s="14">
        <v>0.18</v>
      </c>
      <c r="G380" s="14">
        <v>1.0</v>
      </c>
      <c r="H380" s="18">
        <v>3.88174289069E10</v>
      </c>
      <c r="I380" s="14">
        <v>0.42</v>
      </c>
    </row>
    <row r="381">
      <c r="A381" s="14">
        <v>2017.0</v>
      </c>
      <c r="B381" s="14" t="s">
        <v>88</v>
      </c>
      <c r="C381" s="14">
        <v>4595.0</v>
      </c>
      <c r="D381" s="19">
        <v>0.0</v>
      </c>
      <c r="E381" s="18">
        <v>6.13713341805E11</v>
      </c>
      <c r="F381" s="14">
        <v>0.16</v>
      </c>
      <c r="G381" s="14">
        <v>1.0</v>
      </c>
      <c r="H381" s="18">
        <v>9.81941346888E10</v>
      </c>
      <c r="I381" s="14">
        <v>1.06</v>
      </c>
    </row>
    <row r="382">
      <c r="A382" s="14">
        <v>2017.0</v>
      </c>
      <c r="B382" s="14" t="s">
        <v>157</v>
      </c>
      <c r="C382" s="14">
        <v>706.6</v>
      </c>
      <c r="D382" s="19">
        <v>0.0</v>
      </c>
      <c r="E382" s="18">
        <v>3.03917606263E11</v>
      </c>
      <c r="F382" s="14">
        <v>0.37</v>
      </c>
      <c r="G382" s="14">
        <v>1.0</v>
      </c>
      <c r="H382" s="18">
        <v>1.12449514317E11</v>
      </c>
      <c r="I382" s="14">
        <v>1.21</v>
      </c>
    </row>
    <row r="383">
      <c r="A383" s="14">
        <v>2017.0</v>
      </c>
      <c r="B383" s="14" t="s">
        <v>124</v>
      </c>
      <c r="C383" s="14">
        <v>611.9</v>
      </c>
      <c r="D383" s="19">
        <v>5.8824E7</v>
      </c>
      <c r="E383" s="18">
        <v>1.79972028E11</v>
      </c>
      <c r="F383" s="14">
        <v>0.2</v>
      </c>
      <c r="G383" s="14">
        <v>1.0</v>
      </c>
      <c r="H383" s="18">
        <v>3.59944056E10</v>
      </c>
      <c r="I383" s="14">
        <v>0.39</v>
      </c>
    </row>
    <row r="384">
      <c r="A384" s="14">
        <v>2017.0</v>
      </c>
      <c r="B384" s="14" t="s">
        <v>132</v>
      </c>
      <c r="C384" s="14">
        <v>291.5</v>
      </c>
      <c r="D384" s="19">
        <v>0.0</v>
      </c>
      <c r="E384" s="18">
        <v>3.08936883366E12</v>
      </c>
      <c r="F384" s="14">
        <v>0.11</v>
      </c>
      <c r="G384" s="14">
        <v>1.0</v>
      </c>
      <c r="H384" s="18">
        <v>3.398305717026E11</v>
      </c>
      <c r="I384" s="14">
        <v>3.65</v>
      </c>
    </row>
    <row r="385">
      <c r="A385" s="14">
        <v>2017.0</v>
      </c>
      <c r="B385" s="14" t="s">
        <v>185</v>
      </c>
      <c r="C385" s="14">
        <v>0.8204</v>
      </c>
      <c r="D385" s="19">
        <v>0.0</v>
      </c>
      <c r="E385" s="18">
        <v>1.63118380562E11</v>
      </c>
      <c r="F385" s="14">
        <v>0.11</v>
      </c>
      <c r="G385" s="14">
        <v>1.0</v>
      </c>
      <c r="H385" s="18">
        <v>1.79430218618E10</v>
      </c>
      <c r="I385" s="14">
        <v>0.19</v>
      </c>
    </row>
    <row r="386">
      <c r="A386" s="14">
        <v>2017.0</v>
      </c>
      <c r="B386" s="14" t="s">
        <v>90</v>
      </c>
      <c r="C386" s="14">
        <v>63.9</v>
      </c>
      <c r="D386" s="19">
        <v>0.0</v>
      </c>
      <c r="E386" s="18">
        <v>1.64537065561E11</v>
      </c>
      <c r="F386" s="14">
        <v>0.32</v>
      </c>
      <c r="G386" s="14">
        <v>1.0</v>
      </c>
      <c r="H386" s="18">
        <v>5.26518609794E10</v>
      </c>
      <c r="I386" s="14">
        <v>0.57</v>
      </c>
    </row>
    <row r="387">
      <c r="A387" s="14">
        <v>2017.0</v>
      </c>
      <c r="B387" s="14" t="s">
        <v>21</v>
      </c>
      <c r="C387" s="14">
        <v>40.55</v>
      </c>
      <c r="D387" s="19">
        <v>0.0</v>
      </c>
      <c r="E387" s="18">
        <v>6.16076752654E11</v>
      </c>
      <c r="F387" s="14">
        <v>0.16</v>
      </c>
      <c r="G387" s="14">
        <v>1.0</v>
      </c>
      <c r="H387" s="18">
        <v>9.85722804247E10</v>
      </c>
      <c r="I387" s="14">
        <v>1.06</v>
      </c>
    </row>
    <row r="388">
      <c r="A388" s="14">
        <v>2017.0</v>
      </c>
      <c r="B388" s="14" t="s">
        <v>93</v>
      </c>
      <c r="C388" s="14">
        <v>225.2</v>
      </c>
      <c r="D388" s="19">
        <v>0.0</v>
      </c>
      <c r="E388" s="18">
        <v>4.8613806896E12</v>
      </c>
      <c r="F388" s="14">
        <v>0.48</v>
      </c>
      <c r="G388" s="14">
        <v>0.5537682</v>
      </c>
      <c r="H388" s="18">
        <v>1.29219745632E12</v>
      </c>
      <c r="I388" s="14">
        <v>13.89</v>
      </c>
    </row>
    <row r="389">
      <c r="A389" s="14">
        <v>2017.0</v>
      </c>
      <c r="B389" s="14" t="s">
        <v>94</v>
      </c>
      <c r="C389" s="14">
        <v>189.0</v>
      </c>
      <c r="D389" s="19">
        <v>5.537682E8</v>
      </c>
      <c r="E389" s="18">
        <v>1.89E11</v>
      </c>
      <c r="F389" s="14">
        <v>1.0</v>
      </c>
      <c r="G389" s="14">
        <v>0.5537682</v>
      </c>
      <c r="H389" s="18">
        <v>1.046621898E11</v>
      </c>
      <c r="I389" s="14">
        <v>1.13</v>
      </c>
    </row>
    <row r="390">
      <c r="A390" s="14">
        <v>2017.0</v>
      </c>
      <c r="B390" s="14" t="s">
        <v>141</v>
      </c>
      <c r="C390" s="14">
        <v>27.89</v>
      </c>
      <c r="D390" s="19">
        <v>0.0</v>
      </c>
      <c r="E390" s="18">
        <v>9.96397992322E11</v>
      </c>
      <c r="F390" s="14">
        <v>0.25</v>
      </c>
      <c r="G390" s="14">
        <v>1.0</v>
      </c>
      <c r="H390" s="18">
        <v>2.49099498081E11</v>
      </c>
      <c r="I390" s="14">
        <v>2.68</v>
      </c>
    </row>
    <row r="391">
      <c r="A391" s="14">
        <v>2017.0</v>
      </c>
      <c r="B391" s="14" t="s">
        <v>142</v>
      </c>
      <c r="C391" s="14">
        <v>28.145</v>
      </c>
      <c r="D391" s="19">
        <v>0.0</v>
      </c>
      <c r="E391" s="18">
        <v>2.16772740324E11</v>
      </c>
      <c r="F391" s="14">
        <v>0.73</v>
      </c>
      <c r="G391" s="14">
        <v>1.0</v>
      </c>
      <c r="H391" s="18">
        <v>1.58244100437E11</v>
      </c>
      <c r="I391" s="14">
        <v>1.7</v>
      </c>
    </row>
    <row r="392">
      <c r="A392" s="14">
        <v>2017.0</v>
      </c>
      <c r="B392" s="14" t="s">
        <v>136</v>
      </c>
      <c r="C392" s="14">
        <v>478.8</v>
      </c>
      <c r="D392" s="19">
        <v>6.97181024E8</v>
      </c>
      <c r="E392" s="18">
        <v>1.04315710716E12</v>
      </c>
      <c r="F392" s="14">
        <v>0.32</v>
      </c>
      <c r="G392" s="14">
        <v>1.0</v>
      </c>
      <c r="H392" s="18">
        <v>3.33810274291E11</v>
      </c>
      <c r="I392" s="14">
        <v>3.59</v>
      </c>
    </row>
    <row r="393">
      <c r="A393" s="14">
        <v>2017.0</v>
      </c>
      <c r="B393" s="14" t="s">
        <v>137</v>
      </c>
      <c r="C393" s="14">
        <v>365.0</v>
      </c>
      <c r="D393" s="19">
        <v>1.475085E8</v>
      </c>
      <c r="E393" s="18">
        <v>5.38406025E10</v>
      </c>
      <c r="F393" s="14">
        <v>1.0</v>
      </c>
      <c r="G393" s="14">
        <v>1.0</v>
      </c>
      <c r="H393" s="18">
        <v>5.38406025E10</v>
      </c>
      <c r="I393" s="14">
        <v>0.58</v>
      </c>
    </row>
    <row r="394">
      <c r="A394" s="14">
        <v>2017.0</v>
      </c>
      <c r="B394" s="14" t="s">
        <v>159</v>
      </c>
      <c r="C394" s="14">
        <v>73.9</v>
      </c>
      <c r="D394" s="19">
        <v>0.0</v>
      </c>
      <c r="E394" s="18">
        <v>7.63487035474E10</v>
      </c>
      <c r="F394" s="14">
        <v>0.3</v>
      </c>
      <c r="G394" s="14">
        <v>1.0</v>
      </c>
      <c r="H394" s="18">
        <v>2.29046110642E10</v>
      </c>
      <c r="I394" s="14">
        <v>0.25</v>
      </c>
    </row>
    <row r="395">
      <c r="A395" s="14">
        <v>2017.0</v>
      </c>
      <c r="B395" s="14" t="s">
        <v>104</v>
      </c>
      <c r="C395" s="14">
        <v>179900.0</v>
      </c>
      <c r="D395" s="19">
        <v>497560.0</v>
      </c>
      <c r="E395" s="18">
        <v>2.797220125E11</v>
      </c>
      <c r="F395" s="14">
        <v>0.32</v>
      </c>
      <c r="G395" s="14">
        <v>1.0</v>
      </c>
      <c r="H395" s="18">
        <v>8.9511044E10</v>
      </c>
      <c r="I395" s="14">
        <v>0.96</v>
      </c>
    </row>
    <row r="396">
      <c r="A396" s="14">
        <v>2017.0</v>
      </c>
      <c r="B396" s="14" t="s">
        <v>118</v>
      </c>
      <c r="C396" s="14">
        <v>2.529</v>
      </c>
      <c r="D396" s="19">
        <v>0.0</v>
      </c>
      <c r="E396" s="18">
        <v>1.59450177841E11</v>
      </c>
      <c r="F396" s="14">
        <v>0.16</v>
      </c>
      <c r="G396" s="14">
        <v>1.0</v>
      </c>
      <c r="H396" s="18">
        <v>2.55120284545E10</v>
      </c>
      <c r="I396" s="14">
        <v>0.27</v>
      </c>
    </row>
    <row r="397">
      <c r="A397" s="14">
        <v>2017.0</v>
      </c>
      <c r="B397" s="14" t="s">
        <v>187</v>
      </c>
      <c r="C397" s="14">
        <v>790.0</v>
      </c>
      <c r="D397" s="19">
        <v>0.0</v>
      </c>
      <c r="E397" s="18">
        <v>9.163738431E10</v>
      </c>
      <c r="F397" s="14">
        <v>0.26</v>
      </c>
      <c r="G397" s="14">
        <v>1.0</v>
      </c>
      <c r="H397" s="18">
        <v>2.38257199206E10</v>
      </c>
      <c r="I397" s="14">
        <v>0.26</v>
      </c>
    </row>
    <row r="398">
      <c r="A398" s="14">
        <v>2017.0</v>
      </c>
      <c r="B398" s="14" t="s">
        <v>9</v>
      </c>
      <c r="C398" s="14">
        <v>0.04732</v>
      </c>
      <c r="D398" s="19">
        <v>5.05461112156E12</v>
      </c>
      <c r="E398" s="18">
        <v>6.13292816083E11</v>
      </c>
      <c r="F398" s="14">
        <v>0.39</v>
      </c>
      <c r="G398" s="14">
        <v>1.0</v>
      </c>
      <c r="H398" s="18">
        <v>2.39184198272E11</v>
      </c>
      <c r="I398" s="14">
        <v>2.57</v>
      </c>
    </row>
    <row r="399">
      <c r="A399" s="14">
        <v>2017.0</v>
      </c>
      <c r="B399" s="14" t="s">
        <v>181</v>
      </c>
      <c r="C399" s="14">
        <v>1894.0</v>
      </c>
      <c r="D399" s="19">
        <v>0.0</v>
      </c>
      <c r="E399" s="18">
        <v>5.40174517986E11</v>
      </c>
      <c r="F399" s="14">
        <v>0.95</v>
      </c>
      <c r="G399" s="14">
        <v>0.25</v>
      </c>
      <c r="H399" s="18">
        <v>1.28291448022E11</v>
      </c>
      <c r="I399" s="14">
        <v>1.38</v>
      </c>
    </row>
    <row r="400">
      <c r="A400" s="14">
        <v>2016.0</v>
      </c>
      <c r="B400" s="14" t="s">
        <v>37</v>
      </c>
      <c r="C400" s="14">
        <v>23.17</v>
      </c>
      <c r="D400" s="19">
        <v>3.474E9</v>
      </c>
      <c r="E400" s="18">
        <v>2.235905E11</v>
      </c>
      <c r="F400" s="14">
        <v>0.36</v>
      </c>
      <c r="G400" s="14">
        <v>1.0</v>
      </c>
      <c r="H400" s="18">
        <v>8.049258E10</v>
      </c>
      <c r="I400" s="14">
        <v>0.77</v>
      </c>
    </row>
    <row r="401">
      <c r="A401" s="14">
        <v>2016.0</v>
      </c>
      <c r="B401" s="14" t="s">
        <v>39</v>
      </c>
      <c r="C401" s="14">
        <v>152.85</v>
      </c>
      <c r="D401" s="19">
        <v>4.55352683E8</v>
      </c>
      <c r="E401" s="18">
        <v>1.6975770130215E11</v>
      </c>
      <c r="F401" s="14">
        <v>0.41</v>
      </c>
      <c r="G401" s="14">
        <v>1.0</v>
      </c>
      <c r="H401" s="18">
        <v>6.960065753388E10</v>
      </c>
      <c r="I401" s="14">
        <v>0.67</v>
      </c>
    </row>
    <row r="402">
      <c r="A402" s="14">
        <v>2016.0</v>
      </c>
      <c r="B402" s="14" t="s">
        <v>163</v>
      </c>
      <c r="C402" s="14">
        <v>804.0</v>
      </c>
      <c r="D402" s="19">
        <v>2.52E7</v>
      </c>
      <c r="E402" s="18">
        <v>9.648E10</v>
      </c>
      <c r="F402" s="14">
        <v>0.21</v>
      </c>
      <c r="G402" s="14">
        <v>1.0</v>
      </c>
      <c r="H402" s="18">
        <v>2.02608E10</v>
      </c>
      <c r="I402" s="14">
        <v>0.19</v>
      </c>
    </row>
    <row r="403">
      <c r="A403" s="14">
        <v>2016.0</v>
      </c>
      <c r="B403" s="14" t="s">
        <v>148</v>
      </c>
      <c r="C403" s="14">
        <v>3575.0</v>
      </c>
      <c r="D403" s="19">
        <v>6485440.0</v>
      </c>
      <c r="E403" s="18">
        <v>1.4490905E11</v>
      </c>
      <c r="F403" s="14">
        <v>0.16</v>
      </c>
      <c r="G403" s="14">
        <v>1.0</v>
      </c>
      <c r="H403" s="18">
        <v>2.3185448E10</v>
      </c>
      <c r="I403" s="14">
        <v>0.22</v>
      </c>
    </row>
    <row r="404">
      <c r="A404" s="14">
        <v>2016.0</v>
      </c>
      <c r="B404" s="14" t="s">
        <v>7</v>
      </c>
      <c r="C404" s="14">
        <v>97.43</v>
      </c>
      <c r="D404" s="19">
        <v>2.504088314E9</v>
      </c>
      <c r="E404" s="18">
        <v>7.175686013309E11</v>
      </c>
      <c r="F404" s="14">
        <v>0.34</v>
      </c>
      <c r="G404" s="14">
        <v>1.0</v>
      </c>
      <c r="H404" s="18">
        <v>2.4397332445251E11</v>
      </c>
      <c r="I404" s="14">
        <v>2.33</v>
      </c>
    </row>
    <row r="405">
      <c r="A405" s="14">
        <v>2016.0</v>
      </c>
      <c r="B405" s="14" t="s">
        <v>149</v>
      </c>
      <c r="C405" s="14">
        <v>3588.5</v>
      </c>
      <c r="D405" s="19">
        <v>1.7741579E7</v>
      </c>
      <c r="E405" s="18">
        <v>5.305471257765E11</v>
      </c>
      <c r="F405" s="14">
        <v>0.12</v>
      </c>
      <c r="G405" s="14">
        <v>1.0</v>
      </c>
      <c r="H405" s="18">
        <v>6.366565509318E10</v>
      </c>
      <c r="I405" s="14">
        <v>0.61</v>
      </c>
    </row>
    <row r="406">
      <c r="A406" s="14">
        <v>2016.0</v>
      </c>
      <c r="B406" s="14" t="s">
        <v>150</v>
      </c>
      <c r="C406" s="14">
        <v>1228.5</v>
      </c>
      <c r="D406" s="19">
        <v>1.8766448E7</v>
      </c>
      <c r="E406" s="18">
        <v>3.6594572742E10</v>
      </c>
      <c r="F406" s="14">
        <v>0.63</v>
      </c>
      <c r="G406" s="14">
        <v>1.0</v>
      </c>
      <c r="H406" s="18">
        <v>2.305458082746E10</v>
      </c>
      <c r="I406" s="14">
        <v>0.22</v>
      </c>
    </row>
    <row r="407">
      <c r="A407" s="14">
        <v>2016.0</v>
      </c>
      <c r="B407" s="14" t="s">
        <v>4</v>
      </c>
      <c r="C407" s="14">
        <v>4.3</v>
      </c>
      <c r="D407" s="19">
        <v>5.014739072E9</v>
      </c>
      <c r="E407" s="18">
        <v>1.026827524238E11</v>
      </c>
      <c r="F407" s="14">
        <v>0.21</v>
      </c>
      <c r="G407" s="14">
        <v>1.0</v>
      </c>
      <c r="H407" s="18">
        <v>2.1563378009E10</v>
      </c>
      <c r="I407" s="14">
        <v>0.21</v>
      </c>
    </row>
    <row r="408">
      <c r="A408" s="14">
        <v>2016.0</v>
      </c>
      <c r="B408" s="14" t="s">
        <v>96</v>
      </c>
      <c r="C408" s="14">
        <v>942.2</v>
      </c>
      <c r="D408" s="19">
        <v>1.50789359E8</v>
      </c>
      <c r="E408" s="18">
        <v>7.89298521452E11</v>
      </c>
      <c r="F408" s="14">
        <v>0.18</v>
      </c>
      <c r="G408" s="14">
        <v>1.0</v>
      </c>
      <c r="H408" s="18">
        <v>1.4207373386136E11</v>
      </c>
      <c r="I408" s="14">
        <v>1.36</v>
      </c>
    </row>
    <row r="409">
      <c r="A409" s="14">
        <v>2016.0</v>
      </c>
      <c r="B409" s="14" t="s">
        <v>188</v>
      </c>
      <c r="C409" s="14">
        <v>280.0</v>
      </c>
      <c r="D409" s="19">
        <v>5.7385E7</v>
      </c>
      <c r="E409" s="18">
        <v>3.493E10</v>
      </c>
      <c r="F409" s="14">
        <v>0.46</v>
      </c>
      <c r="G409" s="14">
        <v>1.0</v>
      </c>
      <c r="H409" s="18">
        <v>1.60678E10</v>
      </c>
      <c r="I409" s="14">
        <v>0.15</v>
      </c>
    </row>
    <row r="410">
      <c r="A410" s="14">
        <v>2016.0</v>
      </c>
      <c r="B410" s="14" t="s">
        <v>108</v>
      </c>
      <c r="C410" s="14">
        <v>0.2032</v>
      </c>
      <c r="D410" s="19">
        <v>2.67679717843E11</v>
      </c>
      <c r="E410" s="18">
        <v>2.590119936464E11</v>
      </c>
      <c r="F410" s="14">
        <v>0.21</v>
      </c>
      <c r="G410" s="14">
        <v>1.0</v>
      </c>
      <c r="H410" s="18">
        <v>5.439251866574E10</v>
      </c>
      <c r="I410" s="14">
        <v>0.52</v>
      </c>
    </row>
    <row r="411">
      <c r="A411" s="14">
        <v>2016.0</v>
      </c>
      <c r="B411" s="14" t="s">
        <v>43</v>
      </c>
      <c r="C411" s="14">
        <v>154.55</v>
      </c>
      <c r="D411" s="19">
        <v>9.942764579E9</v>
      </c>
      <c r="E411" s="18">
        <v>3.658741418695E12</v>
      </c>
      <c r="F411" s="14">
        <v>0.46</v>
      </c>
      <c r="G411" s="14">
        <v>0.9130333</v>
      </c>
      <c r="H411" s="18">
        <v>1.53665426562458E12</v>
      </c>
      <c r="I411" s="14">
        <v>14.68</v>
      </c>
    </row>
    <row r="412">
      <c r="A412" s="14">
        <v>2016.0</v>
      </c>
      <c r="B412" s="14" t="s">
        <v>45</v>
      </c>
      <c r="C412" s="14">
        <v>10122.0</v>
      </c>
      <c r="D412" s="19">
        <v>5.2221007E7</v>
      </c>
      <c r="E412" s="18">
        <v>1.601760708072E12</v>
      </c>
      <c r="F412" s="14">
        <v>0.33</v>
      </c>
      <c r="G412" s="14">
        <v>1.0</v>
      </c>
      <c r="H412" s="18">
        <v>5.2858103366376E11</v>
      </c>
      <c r="I412" s="14">
        <v>5.05</v>
      </c>
    </row>
    <row r="413">
      <c r="A413" s="14">
        <v>2016.0</v>
      </c>
      <c r="B413" s="14" t="s">
        <v>106</v>
      </c>
      <c r="C413" s="14">
        <v>0.9259</v>
      </c>
      <c r="D413" s="19">
        <v>8.8838756925E10</v>
      </c>
      <c r="E413" s="18">
        <v>3.5763393494165E11</v>
      </c>
      <c r="F413" s="14">
        <v>0.23</v>
      </c>
      <c r="G413" s="14">
        <v>1.0</v>
      </c>
      <c r="H413" s="18">
        <v>8.225580503658E10</v>
      </c>
      <c r="I413" s="14">
        <v>0.79</v>
      </c>
    </row>
    <row r="414">
      <c r="A414" s="14">
        <v>2016.0</v>
      </c>
      <c r="B414" s="14" t="s">
        <v>59</v>
      </c>
      <c r="C414" s="14">
        <v>3.844</v>
      </c>
      <c r="D414" s="19">
        <v>3.0276E10</v>
      </c>
      <c r="E414" s="18">
        <v>4.013136E11</v>
      </c>
      <c r="F414" s="14">
        <v>0.29</v>
      </c>
      <c r="G414" s="14">
        <v>1.0</v>
      </c>
      <c r="H414" s="18">
        <v>1.16380944E11</v>
      </c>
      <c r="I414" s="14">
        <v>1.11</v>
      </c>
    </row>
    <row r="415">
      <c r="A415" s="14">
        <v>2016.0</v>
      </c>
      <c r="B415" s="14" t="s">
        <v>78</v>
      </c>
      <c r="C415" s="14">
        <v>3449.0</v>
      </c>
      <c r="D415" s="19">
        <v>3.91259097E8</v>
      </c>
      <c r="E415" s="18">
        <v>2.933592666495E12</v>
      </c>
      <c r="F415" s="14">
        <v>0.46</v>
      </c>
      <c r="G415" s="14">
        <v>1.0</v>
      </c>
      <c r="H415" s="18">
        <v>1.3494526265877E12</v>
      </c>
      <c r="I415" s="14">
        <v>12.9</v>
      </c>
    </row>
    <row r="416">
      <c r="A416" s="14">
        <v>2016.0</v>
      </c>
      <c r="B416" s="14" t="s">
        <v>49</v>
      </c>
      <c r="C416" s="14">
        <v>952.0</v>
      </c>
      <c r="D416" s="19">
        <v>1.6999985E7</v>
      </c>
      <c r="E416" s="18">
        <v>9.808476468E10</v>
      </c>
      <c r="F416" s="14">
        <v>0.33</v>
      </c>
      <c r="G416" s="14">
        <v>0.5</v>
      </c>
      <c r="H416" s="18">
        <v>1.61839861722E10</v>
      </c>
      <c r="I416" s="14">
        <v>0.15</v>
      </c>
    </row>
    <row r="417">
      <c r="A417" s="14">
        <v>2016.0</v>
      </c>
      <c r="B417" s="14" t="s">
        <v>69</v>
      </c>
      <c r="C417" s="14">
        <v>33.265</v>
      </c>
      <c r="D417" s="19">
        <v>1.4526629E9</v>
      </c>
      <c r="E417" s="18">
        <v>3.7171408745E11</v>
      </c>
      <c r="F417" s="14">
        <v>0.13</v>
      </c>
      <c r="G417" s="14">
        <v>1.0</v>
      </c>
      <c r="H417" s="18">
        <v>4.83228313685E10</v>
      </c>
      <c r="I417" s="14">
        <v>0.46</v>
      </c>
    </row>
    <row r="418">
      <c r="A418" s="14">
        <v>2016.0</v>
      </c>
      <c r="B418" s="14" t="s">
        <v>162</v>
      </c>
      <c r="C418" s="14">
        <v>579.6</v>
      </c>
      <c r="D418" s="19">
        <v>9.3E7</v>
      </c>
      <c r="E418" s="18">
        <v>3.59352E11</v>
      </c>
      <c r="F418" s="14">
        <v>0.15</v>
      </c>
      <c r="G418" s="14">
        <v>1.0</v>
      </c>
      <c r="H418" s="18">
        <v>5.39028E10</v>
      </c>
      <c r="I418" s="14">
        <v>0.52</v>
      </c>
    </row>
    <row r="419">
      <c r="A419" s="14">
        <v>2016.0</v>
      </c>
      <c r="B419" s="14" t="s">
        <v>147</v>
      </c>
      <c r="C419" s="14">
        <v>11000.0</v>
      </c>
      <c r="D419" s="19">
        <v>5.9573654E7</v>
      </c>
      <c r="E419" s="18">
        <v>1.040174905E12</v>
      </c>
      <c r="F419" s="14">
        <v>0.63</v>
      </c>
      <c r="G419" s="14">
        <v>1.0</v>
      </c>
      <c r="H419" s="18">
        <v>6.5531019015E11</v>
      </c>
      <c r="I419" s="14">
        <v>6.26</v>
      </c>
    </row>
    <row r="420">
      <c r="A420" s="14">
        <v>2016.0</v>
      </c>
      <c r="B420" s="14" t="s">
        <v>76</v>
      </c>
      <c r="C420" s="14">
        <v>125.59</v>
      </c>
      <c r="D420" s="19">
        <v>1.298822801E9</v>
      </c>
      <c r="E420" s="18">
        <v>2.8617395715587E11</v>
      </c>
      <c r="F420" s="14">
        <v>0.57</v>
      </c>
      <c r="G420" s="14">
        <v>1.0</v>
      </c>
      <c r="H420" s="18">
        <v>1.6311915557885E11</v>
      </c>
      <c r="I420" s="14">
        <v>1.56</v>
      </c>
    </row>
    <row r="421">
      <c r="A421" s="14">
        <v>2016.0</v>
      </c>
      <c r="B421" s="14" t="s">
        <v>126</v>
      </c>
      <c r="C421" s="14">
        <v>2.48</v>
      </c>
      <c r="D421" s="19">
        <v>7.94987194E9</v>
      </c>
      <c r="E421" s="18">
        <v>9.8578412056E10</v>
      </c>
      <c r="F421" s="14">
        <v>0.2</v>
      </c>
      <c r="G421" s="14">
        <v>1.0</v>
      </c>
      <c r="H421" s="18">
        <v>1.97156824112E10</v>
      </c>
      <c r="I421" s="14">
        <v>0.19</v>
      </c>
    </row>
    <row r="422">
      <c r="A422" s="14">
        <v>2016.0</v>
      </c>
      <c r="B422" s="14" t="s">
        <v>71</v>
      </c>
      <c r="C422" s="14">
        <v>181.25</v>
      </c>
      <c r="D422" s="19">
        <v>1.87321835E8</v>
      </c>
      <c r="E422" s="18">
        <v>7.544907253125E10</v>
      </c>
      <c r="F422" s="14">
        <v>0.45</v>
      </c>
      <c r="G422" s="14">
        <v>1.0</v>
      </c>
      <c r="H422" s="18">
        <v>3.395208263906E10</v>
      </c>
      <c r="I422" s="14">
        <v>0.32</v>
      </c>
    </row>
    <row r="423">
      <c r="A423" s="14">
        <v>2016.0</v>
      </c>
      <c r="B423" s="14" t="s">
        <v>74</v>
      </c>
      <c r="C423" s="14">
        <v>259.0</v>
      </c>
      <c r="D423" s="19">
        <v>9.59223156E8</v>
      </c>
      <c r="E423" s="18">
        <v>5.17580827925E11</v>
      </c>
      <c r="F423" s="14">
        <v>0.48</v>
      </c>
      <c r="G423" s="14">
        <v>1.0</v>
      </c>
      <c r="H423" s="18">
        <v>2.48438797404E11</v>
      </c>
      <c r="I423" s="14">
        <v>2.37</v>
      </c>
    </row>
    <row r="424">
      <c r="A424" s="14">
        <v>2016.0</v>
      </c>
      <c r="B424" s="14" t="s">
        <v>65</v>
      </c>
      <c r="C424" s="14">
        <v>387.5</v>
      </c>
      <c r="D424" s="19">
        <v>7.5502655E7</v>
      </c>
      <c r="E424" s="18">
        <v>6.96601879625E10</v>
      </c>
      <c r="F424" s="14">
        <v>0.42</v>
      </c>
      <c r="G424" s="14">
        <v>1.0</v>
      </c>
      <c r="H424" s="18">
        <v>2.925727894425E10</v>
      </c>
      <c r="I424" s="14">
        <v>0.28</v>
      </c>
    </row>
    <row r="425">
      <c r="A425" s="14">
        <v>2016.0</v>
      </c>
      <c r="B425" s="14" t="s">
        <v>82</v>
      </c>
      <c r="C425" s="14">
        <v>114.98</v>
      </c>
      <c r="D425" s="19">
        <v>8.39051814E8</v>
      </c>
      <c r="E425" s="18">
        <v>6.891012680552E11</v>
      </c>
      <c r="F425" s="14">
        <v>0.14</v>
      </c>
      <c r="G425" s="14">
        <v>1.0</v>
      </c>
      <c r="H425" s="18">
        <v>9.647417752773E10</v>
      </c>
      <c r="I425" s="14">
        <v>0.92</v>
      </c>
    </row>
    <row r="426">
      <c r="A426" s="14">
        <v>2016.0</v>
      </c>
      <c r="B426" s="14" t="s">
        <v>153</v>
      </c>
      <c r="C426" s="14">
        <v>6.585</v>
      </c>
      <c r="D426" s="19">
        <v>2.88897231E9</v>
      </c>
      <c r="E426" s="18">
        <v>1.26825884409E11</v>
      </c>
      <c r="F426" s="14">
        <v>0.15</v>
      </c>
      <c r="G426" s="14">
        <v>1.0</v>
      </c>
      <c r="H426" s="18">
        <v>1.902388266135E10</v>
      </c>
      <c r="I426" s="14">
        <v>0.18</v>
      </c>
    </row>
    <row r="427">
      <c r="A427" s="14">
        <v>2016.0</v>
      </c>
      <c r="B427" s="14" t="s">
        <v>130</v>
      </c>
      <c r="C427" s="14">
        <v>791.9</v>
      </c>
      <c r="D427" s="19">
        <v>8.1980262E8</v>
      </c>
      <c r="E427" s="18">
        <v>2.4044507214E12</v>
      </c>
      <c r="F427" s="14">
        <v>0.27</v>
      </c>
      <c r="G427" s="14">
        <v>1.0</v>
      </c>
      <c r="H427" s="18">
        <v>6.49201694778E11</v>
      </c>
      <c r="I427" s="14">
        <v>6.2</v>
      </c>
    </row>
    <row r="428">
      <c r="A428" s="14">
        <v>2016.0</v>
      </c>
      <c r="B428" s="14" t="s">
        <v>112</v>
      </c>
      <c r="C428" s="14">
        <v>2599.0</v>
      </c>
      <c r="D428" s="19">
        <v>2.4605E7</v>
      </c>
      <c r="E428" s="18">
        <v>3.365705E11</v>
      </c>
      <c r="F428" s="14">
        <v>0.19</v>
      </c>
      <c r="G428" s="14">
        <v>1.0</v>
      </c>
      <c r="H428" s="18">
        <v>6.3948395E10</v>
      </c>
      <c r="I428" s="14">
        <v>0.61</v>
      </c>
    </row>
    <row r="429">
      <c r="A429" s="14">
        <v>2016.0</v>
      </c>
      <c r="B429" s="14" t="s">
        <v>86</v>
      </c>
      <c r="C429" s="14">
        <v>290.0</v>
      </c>
      <c r="D429" s="19">
        <v>1.05679575E8</v>
      </c>
      <c r="E429" s="18">
        <v>1.9154422976E11</v>
      </c>
      <c r="F429" s="14">
        <v>0.32</v>
      </c>
      <c r="G429" s="14">
        <v>0.5</v>
      </c>
      <c r="H429" s="18">
        <v>3.06470767616E10</v>
      </c>
      <c r="I429" s="14">
        <v>0.29</v>
      </c>
    </row>
    <row r="430">
      <c r="A430" s="14">
        <v>2016.0</v>
      </c>
      <c r="B430" s="14" t="s">
        <v>88</v>
      </c>
      <c r="C430" s="14">
        <v>4431.0</v>
      </c>
      <c r="D430" s="19">
        <v>9531387.0</v>
      </c>
      <c r="E430" s="18">
        <v>8.44671546957E11</v>
      </c>
      <c r="F430" s="14">
        <v>0.05</v>
      </c>
      <c r="G430" s="14">
        <v>1.0</v>
      </c>
      <c r="H430" s="18">
        <v>4.223357734785E10</v>
      </c>
      <c r="I430" s="14">
        <v>0.4</v>
      </c>
    </row>
    <row r="431">
      <c r="A431" s="14">
        <v>2016.0</v>
      </c>
      <c r="B431" s="14" t="s">
        <v>157</v>
      </c>
      <c r="C431" s="14">
        <v>638.5</v>
      </c>
      <c r="D431" s="19">
        <v>7.9021205E7</v>
      </c>
      <c r="E431" s="18">
        <v>2.72729942248E11</v>
      </c>
      <c r="F431" s="14">
        <v>0.37</v>
      </c>
      <c r="G431" s="14">
        <v>0.5</v>
      </c>
      <c r="H431" s="18">
        <v>5.045503931588E10</v>
      </c>
      <c r="I431" s="14">
        <v>0.48</v>
      </c>
    </row>
    <row r="432">
      <c r="A432" s="14">
        <v>2016.0</v>
      </c>
      <c r="B432" s="14" t="s">
        <v>132</v>
      </c>
      <c r="C432" s="14">
        <v>402.8</v>
      </c>
      <c r="D432" s="19">
        <v>1.16579956E9</v>
      </c>
      <c r="E432" s="18">
        <v>4.2689460246876E12</v>
      </c>
      <c r="F432" s="14">
        <v>0.11</v>
      </c>
      <c r="G432" s="14">
        <v>1.0</v>
      </c>
      <c r="H432" s="18">
        <v>4.6958406271564E11</v>
      </c>
      <c r="I432" s="14">
        <v>4.49</v>
      </c>
    </row>
    <row r="433">
      <c r="A433" s="14">
        <v>2016.0</v>
      </c>
      <c r="B433" s="14" t="s">
        <v>185</v>
      </c>
      <c r="C433" s="14">
        <v>1.1439</v>
      </c>
      <c r="D433" s="19">
        <v>2.1559513768E10</v>
      </c>
      <c r="E433" s="18">
        <v>2.2419934362684E11</v>
      </c>
      <c r="F433" s="14">
        <v>0.11</v>
      </c>
      <c r="G433" s="14">
        <v>1.0</v>
      </c>
      <c r="H433" s="18">
        <v>2.466192779895E10</v>
      </c>
      <c r="I433" s="14">
        <v>0.24</v>
      </c>
    </row>
    <row r="434">
      <c r="A434" s="14">
        <v>2016.0</v>
      </c>
      <c r="B434" s="14" t="s">
        <v>90</v>
      </c>
      <c r="C434" s="14">
        <v>84.0</v>
      </c>
      <c r="D434" s="19">
        <v>8.23972785E8</v>
      </c>
      <c r="E434" s="18">
        <v>2.16292856136E11</v>
      </c>
      <c r="F434" s="14">
        <v>0.32</v>
      </c>
      <c r="G434" s="14">
        <v>1.0</v>
      </c>
      <c r="H434" s="18">
        <v>6.921371396352E10</v>
      </c>
      <c r="I434" s="14">
        <v>0.66</v>
      </c>
    </row>
    <row r="435">
      <c r="A435" s="14">
        <v>2016.0</v>
      </c>
      <c r="B435" s="14" t="s">
        <v>91</v>
      </c>
      <c r="C435" s="14">
        <v>62.8</v>
      </c>
      <c r="D435" s="19">
        <v>1.44599951E8</v>
      </c>
      <c r="E435" s="18">
        <v>1.31606912316E10</v>
      </c>
      <c r="F435" s="14">
        <v>0.69</v>
      </c>
      <c r="G435" s="14">
        <v>1.0</v>
      </c>
      <c r="H435" s="18">
        <v>9.0808769498E9</v>
      </c>
      <c r="I435" s="14">
        <v>0.09</v>
      </c>
    </row>
    <row r="436">
      <c r="A436" s="14">
        <v>2016.0</v>
      </c>
      <c r="B436" s="14" t="s">
        <v>21</v>
      </c>
      <c r="C436" s="14">
        <v>26.23</v>
      </c>
      <c r="D436" s="19">
        <v>1.519301486E9</v>
      </c>
      <c r="E436" s="18">
        <v>3.9851277983026E11</v>
      </c>
      <c r="F436" s="14">
        <v>0.1</v>
      </c>
      <c r="G436" s="14">
        <v>1.0</v>
      </c>
      <c r="H436" s="18">
        <v>3.985127798303E10</v>
      </c>
      <c r="I436" s="14">
        <v>0.38</v>
      </c>
    </row>
    <row r="437">
      <c r="A437" s="14">
        <v>2016.0</v>
      </c>
      <c r="B437" s="14" t="s">
        <v>93</v>
      </c>
      <c r="C437" s="14">
        <v>173.25</v>
      </c>
      <c r="D437" s="19">
        <v>8.707824942E9</v>
      </c>
      <c r="E437" s="18">
        <v>3.739938741E12</v>
      </c>
      <c r="F437" s="14">
        <v>0.48</v>
      </c>
      <c r="G437" s="14">
        <v>0.8403829</v>
      </c>
      <c r="H437" s="18">
        <v>1.50863067119229E12</v>
      </c>
      <c r="I437" s="14">
        <v>14.42</v>
      </c>
    </row>
    <row r="438">
      <c r="A438" s="14">
        <v>2016.0</v>
      </c>
      <c r="B438" s="14" t="s">
        <v>94</v>
      </c>
      <c r="C438" s="14">
        <v>129.75</v>
      </c>
      <c r="D438" s="19">
        <v>8.403829E8</v>
      </c>
      <c r="E438" s="18">
        <v>1.2975E11</v>
      </c>
      <c r="F438" s="14">
        <v>1.0</v>
      </c>
      <c r="G438" s="14">
        <v>0.8403829</v>
      </c>
      <c r="H438" s="18">
        <v>1.09039681275E11</v>
      </c>
      <c r="I438" s="14">
        <v>1.04</v>
      </c>
    </row>
    <row r="439">
      <c r="A439" s="14">
        <v>2016.0</v>
      </c>
      <c r="B439" s="14" t="s">
        <v>141</v>
      </c>
      <c r="C439" s="14">
        <v>30.95</v>
      </c>
      <c r="D439" s="19">
        <v>8.931498676E9</v>
      </c>
      <c r="E439" s="18">
        <v>1.10571953611975E12</v>
      </c>
      <c r="F439" s="14">
        <v>0.25</v>
      </c>
      <c r="G439" s="14">
        <v>1.0</v>
      </c>
      <c r="H439" s="18">
        <v>2.7642988402994E11</v>
      </c>
      <c r="I439" s="14">
        <v>2.64</v>
      </c>
    </row>
    <row r="440">
      <c r="A440" s="14">
        <v>2016.0</v>
      </c>
      <c r="B440" s="14" t="s">
        <v>142</v>
      </c>
      <c r="C440" s="14">
        <v>32.07</v>
      </c>
      <c r="D440" s="19">
        <v>5.622458712E9</v>
      </c>
      <c r="E440" s="18">
        <v>2.4700308339645E11</v>
      </c>
      <c r="F440" s="14">
        <v>0.73</v>
      </c>
      <c r="G440" s="14">
        <v>1.0</v>
      </c>
      <c r="H440" s="18">
        <v>1.8031225087941E11</v>
      </c>
      <c r="I440" s="14">
        <v>1.72</v>
      </c>
    </row>
    <row r="441">
      <c r="A441" s="14">
        <v>2016.0</v>
      </c>
      <c r="B441" s="14" t="s">
        <v>136</v>
      </c>
      <c r="C441" s="14">
        <v>427.0</v>
      </c>
      <c r="D441" s="19">
        <v>6.97181024E8</v>
      </c>
      <c r="E441" s="18">
        <v>9.303009289E11</v>
      </c>
      <c r="F441" s="14">
        <v>0.32</v>
      </c>
      <c r="G441" s="14">
        <v>1.0</v>
      </c>
      <c r="H441" s="18">
        <v>2.97696297248E11</v>
      </c>
      <c r="I441" s="14">
        <v>2.84</v>
      </c>
    </row>
    <row r="442">
      <c r="A442" s="14">
        <v>2016.0</v>
      </c>
      <c r="B442" s="14" t="s">
        <v>137</v>
      </c>
      <c r="C442" s="14">
        <v>235.0</v>
      </c>
      <c r="D442" s="19">
        <v>1.475085E8</v>
      </c>
      <c r="E442" s="18">
        <v>3.46644975E10</v>
      </c>
      <c r="F442" s="14">
        <v>1.0</v>
      </c>
      <c r="G442" s="14">
        <v>1.0</v>
      </c>
      <c r="H442" s="18">
        <v>3.46644975E10</v>
      </c>
      <c r="I442" s="14">
        <v>0.33</v>
      </c>
    </row>
    <row r="443">
      <c r="A443" s="14">
        <v>2016.0</v>
      </c>
      <c r="B443" s="14" t="s">
        <v>104</v>
      </c>
      <c r="C443" s="14">
        <v>197950.0</v>
      </c>
      <c r="D443" s="19">
        <v>1554875.0</v>
      </c>
      <c r="E443" s="18">
        <v>3.0778750625E11</v>
      </c>
      <c r="F443" s="14">
        <v>1.0</v>
      </c>
      <c r="G443" s="14">
        <v>1.0</v>
      </c>
      <c r="H443" s="18">
        <v>3.0778750625E11</v>
      </c>
      <c r="I443" s="14">
        <v>2.94</v>
      </c>
    </row>
    <row r="444">
      <c r="A444" s="14">
        <v>2016.0</v>
      </c>
      <c r="B444" s="14" t="s">
        <v>118</v>
      </c>
      <c r="C444" s="14">
        <v>2.878</v>
      </c>
      <c r="D444" s="19">
        <v>1.1348767106E10</v>
      </c>
      <c r="E444" s="18">
        <v>1.8145417628531E11</v>
      </c>
      <c r="F444" s="14">
        <v>0.18</v>
      </c>
      <c r="G444" s="14">
        <v>1.0</v>
      </c>
      <c r="H444" s="18">
        <v>3.266175173136E10</v>
      </c>
      <c r="I444" s="14">
        <v>0.31</v>
      </c>
    </row>
    <row r="445">
      <c r="A445" s="14">
        <v>2016.0</v>
      </c>
      <c r="B445" s="14" t="s">
        <v>160</v>
      </c>
      <c r="C445" s="14">
        <v>165.2</v>
      </c>
      <c r="D445" s="19">
        <v>1.76160953E8</v>
      </c>
      <c r="E445" s="18">
        <v>4.850298251932E11</v>
      </c>
      <c r="F445" s="14">
        <v>0.06</v>
      </c>
      <c r="G445" s="14">
        <v>1.0</v>
      </c>
      <c r="H445" s="18">
        <v>2.910178951159E10</v>
      </c>
      <c r="I445" s="14">
        <v>0.28</v>
      </c>
    </row>
    <row r="446">
      <c r="A446" s="14">
        <v>2016.0</v>
      </c>
      <c r="B446" s="14" t="s">
        <v>187</v>
      </c>
      <c r="C446" s="14">
        <v>795.0</v>
      </c>
      <c r="D446" s="19">
        <v>2.268479E7</v>
      </c>
      <c r="E446" s="18">
        <v>9.017203866E10</v>
      </c>
      <c r="F446" s="14">
        <v>0.2</v>
      </c>
      <c r="G446" s="14">
        <v>1.0</v>
      </c>
      <c r="H446" s="18">
        <v>1.8034407732E10</v>
      </c>
      <c r="I446" s="14">
        <v>0.17</v>
      </c>
    </row>
    <row r="447">
      <c r="A447" s="14">
        <v>2016.0</v>
      </c>
      <c r="B447" s="14" t="s">
        <v>155</v>
      </c>
      <c r="C447" s="14">
        <v>13870.0</v>
      </c>
      <c r="D447" s="19">
        <v>576477.0</v>
      </c>
      <c r="E447" s="18">
        <v>1.5991469206E11</v>
      </c>
      <c r="F447" s="14">
        <v>0.1</v>
      </c>
      <c r="G447" s="14">
        <v>0.5</v>
      </c>
      <c r="H447" s="18">
        <v>7.995734603E9</v>
      </c>
      <c r="I447" s="14">
        <v>0.08</v>
      </c>
    </row>
    <row r="448">
      <c r="A448" s="14">
        <v>2016.0</v>
      </c>
      <c r="B448" s="14" t="s">
        <v>9</v>
      </c>
      <c r="C448" s="14">
        <v>0.074</v>
      </c>
      <c r="D448" s="19">
        <v>5.054611121562E12</v>
      </c>
      <c r="E448" s="18">
        <v>9.5908005896301E11</v>
      </c>
      <c r="F448" s="14">
        <v>0.39</v>
      </c>
      <c r="G448" s="14">
        <v>1.0</v>
      </c>
      <c r="H448" s="18">
        <v>3.7404122299557E11</v>
      </c>
      <c r="I448" s="14">
        <v>3.57</v>
      </c>
    </row>
    <row r="449">
      <c r="A449" s="14">
        <v>2016.0</v>
      </c>
      <c r="B449" s="14" t="s">
        <v>181</v>
      </c>
      <c r="C449" s="14">
        <v>1247.5</v>
      </c>
      <c r="D449" s="19">
        <v>6.7558961E7</v>
      </c>
      <c r="E449" s="18">
        <v>3.5486233304E11</v>
      </c>
      <c r="F449" s="14">
        <v>0.95</v>
      </c>
      <c r="G449" s="14">
        <v>0.25</v>
      </c>
      <c r="H449" s="18">
        <v>8.4279804097E10</v>
      </c>
      <c r="I449" s="14">
        <v>0.81</v>
      </c>
    </row>
    <row r="450">
      <c r="A450" s="14">
        <v>2015.0</v>
      </c>
      <c r="B450" s="14" t="s">
        <v>37</v>
      </c>
      <c r="C450" s="14">
        <v>17.65</v>
      </c>
      <c r="D450" s="19">
        <v>3.474E9</v>
      </c>
      <c r="E450" s="18">
        <v>1.703225E11</v>
      </c>
      <c r="F450" s="14">
        <v>0.36</v>
      </c>
      <c r="G450" s="14">
        <v>1.0</v>
      </c>
      <c r="H450" s="18">
        <v>6.13161E10</v>
      </c>
      <c r="I450" s="14">
        <v>0.74</v>
      </c>
    </row>
    <row r="451">
      <c r="A451" s="14">
        <v>2015.0</v>
      </c>
      <c r="B451" s="14" t="s">
        <v>39</v>
      </c>
      <c r="C451" s="14">
        <v>56.1</v>
      </c>
      <c r="D451" s="19">
        <v>3.55397216E8</v>
      </c>
      <c r="E451" s="18">
        <v>6.23055743739E10</v>
      </c>
      <c r="F451" s="14">
        <v>0.32</v>
      </c>
      <c r="G451" s="14">
        <v>1.0</v>
      </c>
      <c r="H451" s="18">
        <v>1.993778379965E10</v>
      </c>
      <c r="I451" s="14">
        <v>0.24</v>
      </c>
    </row>
    <row r="452">
      <c r="A452" s="14">
        <v>2015.0</v>
      </c>
      <c r="B452" s="14" t="s">
        <v>163</v>
      </c>
      <c r="C452" s="14">
        <v>995.0</v>
      </c>
      <c r="D452" s="19">
        <v>2.04E7</v>
      </c>
      <c r="E452" s="18">
        <v>1.194E11</v>
      </c>
      <c r="F452" s="14">
        <v>0.17</v>
      </c>
      <c r="G452" s="14">
        <v>1.0</v>
      </c>
      <c r="H452" s="18">
        <v>2.0298E10</v>
      </c>
      <c r="I452" s="14">
        <v>0.25</v>
      </c>
    </row>
    <row r="453">
      <c r="A453" s="14">
        <v>2015.0</v>
      </c>
      <c r="B453" s="14" t="s">
        <v>148</v>
      </c>
      <c r="C453" s="14">
        <v>3779.0</v>
      </c>
      <c r="D453" s="19">
        <v>6485440.0</v>
      </c>
      <c r="E453" s="18">
        <v>1.53177986E11</v>
      </c>
      <c r="F453" s="14">
        <v>0.16</v>
      </c>
      <c r="G453" s="14">
        <v>1.0</v>
      </c>
      <c r="H453" s="18">
        <v>2.450847776E10</v>
      </c>
      <c r="I453" s="14">
        <v>0.3</v>
      </c>
    </row>
    <row r="454">
      <c r="A454" s="14">
        <v>2015.0</v>
      </c>
      <c r="B454" s="14" t="s">
        <v>7</v>
      </c>
      <c r="C454" s="14">
        <v>55.94</v>
      </c>
      <c r="D454" s="19">
        <v>1.693942095E9</v>
      </c>
      <c r="E454" s="18">
        <v>4.119961773422E11</v>
      </c>
      <c r="F454" s="14">
        <v>0.23</v>
      </c>
      <c r="G454" s="14">
        <v>1.0</v>
      </c>
      <c r="H454" s="18">
        <v>9.475912078871E10</v>
      </c>
      <c r="I454" s="14">
        <v>1.15</v>
      </c>
    </row>
    <row r="455">
      <c r="A455" s="14">
        <v>2015.0</v>
      </c>
      <c r="B455" s="14" t="s">
        <v>149</v>
      </c>
      <c r="C455" s="14">
        <v>1988.0</v>
      </c>
      <c r="D455" s="19">
        <v>1.7741579E7</v>
      </c>
      <c r="E455" s="18">
        <v>2.93918820132E11</v>
      </c>
      <c r="F455" s="14">
        <v>0.12</v>
      </c>
      <c r="G455" s="14">
        <v>1.0</v>
      </c>
      <c r="H455" s="18">
        <v>3.527025841584E10</v>
      </c>
      <c r="I455" s="14">
        <v>0.43</v>
      </c>
    </row>
    <row r="456">
      <c r="A456" s="14">
        <v>2015.0</v>
      </c>
      <c r="B456" s="14" t="s">
        <v>150</v>
      </c>
      <c r="C456" s="14">
        <v>1715.0</v>
      </c>
      <c r="D456" s="19">
        <v>1.8766448E7</v>
      </c>
      <c r="E456" s="18">
        <v>5.108644058E10</v>
      </c>
      <c r="F456" s="14">
        <v>0.63</v>
      </c>
      <c r="G456" s="14">
        <v>1.0</v>
      </c>
      <c r="H456" s="18">
        <v>3.21844575654E10</v>
      </c>
      <c r="I456" s="14">
        <v>0.39</v>
      </c>
    </row>
    <row r="457">
      <c r="A457" s="14">
        <v>2015.0</v>
      </c>
      <c r="B457" s="14" t="s">
        <v>96</v>
      </c>
      <c r="C457" s="14">
        <v>609.5</v>
      </c>
      <c r="D457" s="19">
        <v>1.75920919E8</v>
      </c>
      <c r="E457" s="18">
        <v>5.1058952327E11</v>
      </c>
      <c r="F457" s="14">
        <v>0.21</v>
      </c>
      <c r="G457" s="14">
        <v>1.0</v>
      </c>
      <c r="H457" s="18">
        <v>1.072237998867E11</v>
      </c>
      <c r="I457" s="14">
        <v>1.3</v>
      </c>
    </row>
    <row r="458">
      <c r="A458" s="14">
        <v>2015.0</v>
      </c>
      <c r="B458" s="14" t="s">
        <v>188</v>
      </c>
      <c r="C458" s="14">
        <v>303.0</v>
      </c>
      <c r="D458" s="19">
        <v>5.7385E7</v>
      </c>
      <c r="E458" s="18">
        <v>3.779925E10</v>
      </c>
      <c r="F458" s="14">
        <v>0.46</v>
      </c>
      <c r="G458" s="14">
        <v>1.0</v>
      </c>
      <c r="H458" s="18">
        <v>1.7387655E10</v>
      </c>
      <c r="I458" s="14">
        <v>0.21</v>
      </c>
    </row>
    <row r="459">
      <c r="A459" s="14">
        <v>2015.0</v>
      </c>
      <c r="B459" s="14" t="s">
        <v>189</v>
      </c>
      <c r="C459" s="14">
        <v>3.179</v>
      </c>
      <c r="D459" s="19">
        <v>1.1348767106E10</v>
      </c>
      <c r="E459" s="18">
        <v>2.0043183683495E11</v>
      </c>
      <c r="F459" s="14">
        <v>0.18</v>
      </c>
      <c r="G459" s="14">
        <v>1.0</v>
      </c>
      <c r="H459" s="18">
        <v>3.607773063029E10</v>
      </c>
      <c r="I459" s="14">
        <v>0.44</v>
      </c>
    </row>
    <row r="460">
      <c r="A460" s="14">
        <v>2015.0</v>
      </c>
      <c r="B460" s="14" t="s">
        <v>108</v>
      </c>
      <c r="C460" s="14">
        <v>0.0594</v>
      </c>
      <c r="D460" s="19">
        <v>2.67679717843E11</v>
      </c>
      <c r="E460" s="18">
        <v>7.571512018994E10</v>
      </c>
      <c r="F460" s="14">
        <v>0.21</v>
      </c>
      <c r="G460" s="14">
        <v>1.0</v>
      </c>
      <c r="H460" s="18">
        <v>1.590017523989E10</v>
      </c>
      <c r="I460" s="14">
        <v>0.19</v>
      </c>
    </row>
    <row r="461">
      <c r="A461" s="14">
        <v>2015.0</v>
      </c>
      <c r="B461" s="14" t="s">
        <v>43</v>
      </c>
      <c r="C461" s="14">
        <v>136.09</v>
      </c>
      <c r="D461" s="19">
        <v>9.028459989E9</v>
      </c>
      <c r="E461" s="18">
        <v>3.221728370561E12</v>
      </c>
      <c r="F461" s="14">
        <v>0.46</v>
      </c>
      <c r="G461" s="14">
        <v>0.8290737</v>
      </c>
      <c r="H461" s="18">
        <v>1.22868311986495E12</v>
      </c>
      <c r="I461" s="14">
        <v>14.87</v>
      </c>
    </row>
    <row r="462">
      <c r="A462" s="14">
        <v>2015.0</v>
      </c>
      <c r="B462" s="14" t="s">
        <v>161</v>
      </c>
      <c r="C462" s="14">
        <v>1040.0</v>
      </c>
      <c r="D462" s="19">
        <v>1.5826958E7</v>
      </c>
      <c r="E462" s="18">
        <v>4.572232392E10</v>
      </c>
      <c r="F462" s="14">
        <v>0.36</v>
      </c>
      <c r="G462" s="14">
        <v>1.0</v>
      </c>
      <c r="H462" s="18">
        <v>1.64600366112E10</v>
      </c>
      <c r="I462" s="14">
        <v>0.2</v>
      </c>
    </row>
    <row r="463">
      <c r="A463" s="14">
        <v>2015.0</v>
      </c>
      <c r="B463" s="14" t="s">
        <v>45</v>
      </c>
      <c r="C463" s="14">
        <v>9150.0</v>
      </c>
      <c r="D463" s="19">
        <v>4.7473643E7</v>
      </c>
      <c r="E463" s="18">
        <v>1.4479461054E12</v>
      </c>
      <c r="F463" s="14">
        <v>0.3</v>
      </c>
      <c r="G463" s="14">
        <v>1.0</v>
      </c>
      <c r="H463" s="18">
        <v>4.3438383162E11</v>
      </c>
      <c r="I463" s="14">
        <v>5.26</v>
      </c>
    </row>
    <row r="464">
      <c r="A464" s="14">
        <v>2015.0</v>
      </c>
      <c r="B464" s="14" t="s">
        <v>106</v>
      </c>
      <c r="C464" s="14">
        <v>0.679</v>
      </c>
      <c r="D464" s="19">
        <v>1.31326858063E11</v>
      </c>
      <c r="E464" s="18">
        <v>2.6226746066031E11</v>
      </c>
      <c r="F464" s="14">
        <v>0.34</v>
      </c>
      <c r="G464" s="14">
        <v>1.0</v>
      </c>
      <c r="H464" s="18">
        <v>8.917093662451E10</v>
      </c>
      <c r="I464" s="14">
        <v>1.08</v>
      </c>
    </row>
    <row r="465">
      <c r="A465" s="14">
        <v>2015.0</v>
      </c>
      <c r="B465" s="14" t="s">
        <v>59</v>
      </c>
      <c r="C465" s="14">
        <v>1.106</v>
      </c>
      <c r="D465" s="19">
        <v>1.8792E10</v>
      </c>
      <c r="E465" s="18">
        <v>1.154664E11</v>
      </c>
      <c r="F465" s="14">
        <v>0.18</v>
      </c>
      <c r="G465" s="14">
        <v>1.0</v>
      </c>
      <c r="H465" s="18">
        <v>2.0783952E10</v>
      </c>
      <c r="I465" s="14">
        <v>0.25</v>
      </c>
    </row>
    <row r="466">
      <c r="A466" s="14">
        <v>2015.0</v>
      </c>
      <c r="B466" s="14" t="s">
        <v>78</v>
      </c>
      <c r="C466" s="14">
        <v>2345.9</v>
      </c>
      <c r="D466" s="19">
        <v>3.91259097E8</v>
      </c>
      <c r="E466" s="18">
        <v>1.9953363399045E12</v>
      </c>
      <c r="F466" s="14">
        <v>0.46</v>
      </c>
      <c r="G466" s="14">
        <v>1.0</v>
      </c>
      <c r="H466" s="18">
        <v>9.1785471635607E11</v>
      </c>
      <c r="I466" s="14">
        <v>11.11</v>
      </c>
    </row>
    <row r="467">
      <c r="A467" s="14">
        <v>2015.0</v>
      </c>
      <c r="B467" s="14" t="s">
        <v>186</v>
      </c>
      <c r="C467" s="14">
        <v>498.0</v>
      </c>
      <c r="D467" s="19">
        <v>4.8659373E7</v>
      </c>
      <c r="E467" s="18">
        <v>2.4232367754E11</v>
      </c>
      <c r="F467" s="14">
        <v>0.1</v>
      </c>
      <c r="G467" s="14">
        <v>1.0</v>
      </c>
      <c r="H467" s="18">
        <v>2.4232367754E10</v>
      </c>
      <c r="I467" s="14">
        <v>0.29</v>
      </c>
    </row>
    <row r="468">
      <c r="A468" s="14">
        <v>2015.0</v>
      </c>
      <c r="B468" s="14" t="s">
        <v>49</v>
      </c>
      <c r="C468" s="14">
        <v>673.0</v>
      </c>
      <c r="D468" s="19">
        <v>3.3999971E7</v>
      </c>
      <c r="E468" s="18">
        <v>6.9339334695E10</v>
      </c>
      <c r="F468" s="14">
        <v>0.33</v>
      </c>
      <c r="G468" s="14">
        <v>1.0</v>
      </c>
      <c r="H468" s="18">
        <v>2.288198044935E10</v>
      </c>
      <c r="I468" s="14">
        <v>0.28</v>
      </c>
    </row>
    <row r="469">
      <c r="A469" s="14">
        <v>2015.0</v>
      </c>
      <c r="B469" s="14" t="s">
        <v>69</v>
      </c>
      <c r="C469" s="14">
        <v>18.875</v>
      </c>
      <c r="D469" s="19">
        <v>1.5644062E9</v>
      </c>
      <c r="E469" s="18">
        <v>2.1091547875E11</v>
      </c>
      <c r="F469" s="14">
        <v>0.14</v>
      </c>
      <c r="G469" s="14">
        <v>1.0</v>
      </c>
      <c r="H469" s="18">
        <v>2.9528167025E10</v>
      </c>
      <c r="I469" s="14">
        <v>0.36</v>
      </c>
    </row>
    <row r="470">
      <c r="A470" s="14">
        <v>2015.0</v>
      </c>
      <c r="B470" s="14" t="s">
        <v>162</v>
      </c>
      <c r="C470" s="14">
        <v>850.0</v>
      </c>
      <c r="D470" s="19">
        <v>9.3E7</v>
      </c>
      <c r="E470" s="18">
        <v>5.27E11</v>
      </c>
      <c r="F470" s="14">
        <v>0.15</v>
      </c>
      <c r="G470" s="14">
        <v>1.0</v>
      </c>
      <c r="H470" s="18">
        <v>7.905E10</v>
      </c>
      <c r="I470" s="14">
        <v>0.96</v>
      </c>
    </row>
    <row r="471">
      <c r="A471" s="14">
        <v>2015.0</v>
      </c>
      <c r="B471" s="14" t="s">
        <v>147</v>
      </c>
      <c r="C471" s="14">
        <v>11228.0</v>
      </c>
      <c r="D471" s="19">
        <v>5.1063132E7</v>
      </c>
      <c r="E471" s="18">
        <v>1.06173489394E12</v>
      </c>
      <c r="F471" s="14">
        <v>0.54</v>
      </c>
      <c r="G471" s="14">
        <v>1.0</v>
      </c>
      <c r="H471" s="18">
        <v>5.733368427276E11</v>
      </c>
      <c r="I471" s="14">
        <v>6.94</v>
      </c>
    </row>
    <row r="472">
      <c r="A472" s="14">
        <v>2015.0</v>
      </c>
      <c r="B472" s="14" t="s">
        <v>76</v>
      </c>
      <c r="C472" s="14">
        <v>91.4</v>
      </c>
      <c r="D472" s="19">
        <v>1.162104611E9</v>
      </c>
      <c r="E472" s="18">
        <v>2.082673754602E11</v>
      </c>
      <c r="F472" s="14">
        <v>0.51</v>
      </c>
      <c r="G472" s="14">
        <v>1.0</v>
      </c>
      <c r="H472" s="18">
        <v>1.062163614847E11</v>
      </c>
      <c r="I472" s="14">
        <v>1.29</v>
      </c>
    </row>
    <row r="473">
      <c r="A473" s="14">
        <v>2015.0</v>
      </c>
      <c r="B473" s="14" t="s">
        <v>71</v>
      </c>
      <c r="C473" s="14">
        <v>64.9</v>
      </c>
      <c r="D473" s="19">
        <v>1.45694761E8</v>
      </c>
      <c r="E473" s="18">
        <v>2.70159713505E10</v>
      </c>
      <c r="F473" s="14">
        <v>0.35</v>
      </c>
      <c r="G473" s="14">
        <v>1.0</v>
      </c>
      <c r="H473" s="18">
        <v>9.45558997268E9</v>
      </c>
      <c r="I473" s="14">
        <v>0.11</v>
      </c>
    </row>
    <row r="474">
      <c r="A474" s="14">
        <v>2015.0</v>
      </c>
      <c r="B474" s="14" t="s">
        <v>74</v>
      </c>
      <c r="C474" s="14">
        <v>210.0</v>
      </c>
      <c r="D474" s="19">
        <v>9.29886103E8</v>
      </c>
      <c r="E474" s="18">
        <v>4.3394684802E11</v>
      </c>
      <c r="F474" s="14">
        <v>0.45</v>
      </c>
      <c r="G474" s="14">
        <v>1.0</v>
      </c>
      <c r="H474" s="18">
        <v>1.95276081609E11</v>
      </c>
      <c r="I474" s="14">
        <v>2.36</v>
      </c>
    </row>
    <row r="475">
      <c r="A475" s="14">
        <v>2015.0</v>
      </c>
      <c r="B475" s="14" t="s">
        <v>65</v>
      </c>
      <c r="C475" s="14">
        <v>268.5</v>
      </c>
      <c r="D475" s="19">
        <v>7.5502655E7</v>
      </c>
      <c r="E475" s="18">
        <v>4.82677689495E10</v>
      </c>
      <c r="F475" s="14">
        <v>0.42</v>
      </c>
      <c r="G475" s="14">
        <v>1.0</v>
      </c>
      <c r="H475" s="18">
        <v>2.027246295879E10</v>
      </c>
      <c r="I475" s="14">
        <v>0.25</v>
      </c>
    </row>
    <row r="476">
      <c r="A476" s="14">
        <v>2015.0</v>
      </c>
      <c r="B476" s="14" t="s">
        <v>190</v>
      </c>
      <c r="C476" s="14">
        <v>44.6</v>
      </c>
      <c r="D476" s="19">
        <v>3.0613864E8</v>
      </c>
      <c r="E476" s="18">
        <v>7.18620176E10</v>
      </c>
      <c r="F476" s="14">
        <v>0.19</v>
      </c>
      <c r="G476" s="14">
        <v>1.0</v>
      </c>
      <c r="H476" s="18">
        <v>1.3653783344E10</v>
      </c>
      <c r="I476" s="14">
        <v>0.17</v>
      </c>
    </row>
    <row r="477">
      <c r="A477" s="14">
        <v>2015.0</v>
      </c>
      <c r="B477" s="14" t="s">
        <v>82</v>
      </c>
      <c r="C477" s="14">
        <v>62.6</v>
      </c>
      <c r="D477" s="19">
        <v>8.39051814E8</v>
      </c>
      <c r="E477" s="18">
        <v>3.75176025224E11</v>
      </c>
      <c r="F477" s="14">
        <v>0.14</v>
      </c>
      <c r="G477" s="14">
        <v>1.0</v>
      </c>
      <c r="H477" s="18">
        <v>5.252464353136E10</v>
      </c>
      <c r="I477" s="14">
        <v>0.64</v>
      </c>
    </row>
    <row r="478">
      <c r="A478" s="14">
        <v>2015.0</v>
      </c>
      <c r="B478" s="14" t="s">
        <v>130</v>
      </c>
      <c r="C478" s="14">
        <v>591.0</v>
      </c>
      <c r="D478" s="19">
        <v>8.1980262E8</v>
      </c>
      <c r="E478" s="18">
        <v>1.794456846E12</v>
      </c>
      <c r="F478" s="14">
        <v>0.27</v>
      </c>
      <c r="G478" s="14">
        <v>1.0</v>
      </c>
      <c r="H478" s="18">
        <v>4.8450334842E11</v>
      </c>
      <c r="I478" s="14">
        <v>5.87</v>
      </c>
    </row>
    <row r="479">
      <c r="A479" s="14">
        <v>2015.0</v>
      </c>
      <c r="B479" s="14" t="s">
        <v>112</v>
      </c>
      <c r="C479" s="14">
        <v>2821.0</v>
      </c>
      <c r="D479" s="19">
        <v>2.4605E7</v>
      </c>
      <c r="E479" s="18">
        <v>3.653195E11</v>
      </c>
      <c r="F479" s="14">
        <v>0.19</v>
      </c>
      <c r="G479" s="14">
        <v>1.0</v>
      </c>
      <c r="H479" s="18">
        <v>6.9410705E10</v>
      </c>
      <c r="I479" s="14">
        <v>0.84</v>
      </c>
    </row>
    <row r="480">
      <c r="A480" s="14">
        <v>2015.0</v>
      </c>
      <c r="B480" s="14" t="s">
        <v>191</v>
      </c>
      <c r="C480" s="14">
        <v>1080.0</v>
      </c>
      <c r="D480" s="19">
        <v>1.2849485E7</v>
      </c>
      <c r="E480" s="18">
        <v>4.081601124E10</v>
      </c>
      <c r="F480" s="14">
        <v>0.34</v>
      </c>
      <c r="G480" s="14">
        <v>1.0</v>
      </c>
      <c r="H480" s="18">
        <v>1.38774438216E10</v>
      </c>
      <c r="I480" s="14">
        <v>0.17</v>
      </c>
    </row>
    <row r="481">
      <c r="A481" s="14">
        <v>2015.0</v>
      </c>
      <c r="B481" s="14" t="s">
        <v>86</v>
      </c>
      <c r="C481" s="14">
        <v>219.0</v>
      </c>
      <c r="D481" s="19">
        <v>2.1135915E8</v>
      </c>
      <c r="E481" s="18">
        <v>1.44648918336E11</v>
      </c>
      <c r="F481" s="14">
        <v>0.32</v>
      </c>
      <c r="G481" s="14">
        <v>1.0</v>
      </c>
      <c r="H481" s="18">
        <v>4.628765386752E10</v>
      </c>
      <c r="I481" s="14">
        <v>0.56</v>
      </c>
    </row>
    <row r="482">
      <c r="A482" s="14">
        <v>2015.0</v>
      </c>
      <c r="B482" s="14" t="s">
        <v>157</v>
      </c>
      <c r="C482" s="14">
        <v>622.0</v>
      </c>
      <c r="D482" s="19">
        <v>1.05891321E8</v>
      </c>
      <c r="E482" s="18">
        <v>2.6345760727E11</v>
      </c>
      <c r="F482" s="14">
        <v>0.25</v>
      </c>
      <c r="G482" s="14">
        <v>1.0</v>
      </c>
      <c r="H482" s="18">
        <v>6.58644018175E10</v>
      </c>
      <c r="I482" s="14">
        <v>0.8</v>
      </c>
    </row>
    <row r="483">
      <c r="A483" s="14">
        <v>2015.0</v>
      </c>
      <c r="B483" s="14" t="s">
        <v>132</v>
      </c>
      <c r="C483" s="14">
        <v>253.25</v>
      </c>
      <c r="D483" s="19">
        <v>1.271781338E9</v>
      </c>
      <c r="E483" s="18">
        <v>2.68398853215525E12</v>
      </c>
      <c r="F483" s="14">
        <v>0.12</v>
      </c>
      <c r="G483" s="14">
        <v>1.0</v>
      </c>
      <c r="H483" s="18">
        <v>3.2207862385863E11</v>
      </c>
      <c r="I483" s="14">
        <v>3.9</v>
      </c>
    </row>
    <row r="484">
      <c r="A484" s="14">
        <v>2015.0</v>
      </c>
      <c r="B484" s="14" t="s">
        <v>185</v>
      </c>
      <c r="C484" s="14">
        <v>0.458</v>
      </c>
      <c r="D484" s="19">
        <v>2.2551039463E10</v>
      </c>
      <c r="E484" s="18">
        <v>7.377411481598E10</v>
      </c>
      <c r="F484" s="14">
        <v>0.14</v>
      </c>
      <c r="G484" s="14">
        <v>1.0</v>
      </c>
      <c r="H484" s="18">
        <v>1.032837607424E10</v>
      </c>
      <c r="I484" s="14">
        <v>0.13</v>
      </c>
    </row>
    <row r="485">
      <c r="A485" s="14">
        <v>2015.0</v>
      </c>
      <c r="B485" s="14" t="s">
        <v>90</v>
      </c>
      <c r="C485" s="14">
        <v>90.55</v>
      </c>
      <c r="D485" s="19">
        <v>8.23972785E8</v>
      </c>
      <c r="E485" s="18">
        <v>2.331585490847E11</v>
      </c>
      <c r="F485" s="14">
        <v>0.32</v>
      </c>
      <c r="G485" s="14">
        <v>1.0</v>
      </c>
      <c r="H485" s="18">
        <v>7.46107357071E10</v>
      </c>
      <c r="I485" s="14">
        <v>0.9</v>
      </c>
    </row>
    <row r="486">
      <c r="A486" s="14">
        <v>2015.0</v>
      </c>
      <c r="B486" s="14" t="s">
        <v>91</v>
      </c>
      <c r="C486" s="14">
        <v>69.05</v>
      </c>
      <c r="D486" s="19">
        <v>1.44599951E8</v>
      </c>
      <c r="E486" s="18">
        <v>1.447047340035E10</v>
      </c>
      <c r="F486" s="14">
        <v>0.69</v>
      </c>
      <c r="G486" s="14">
        <v>1.0</v>
      </c>
      <c r="H486" s="18">
        <v>9.98462664624E9</v>
      </c>
      <c r="I486" s="14">
        <v>0.12</v>
      </c>
    </row>
    <row r="487">
      <c r="A487" s="14">
        <v>2015.0</v>
      </c>
      <c r="B487" s="14" t="s">
        <v>21</v>
      </c>
      <c r="C487" s="14">
        <v>22.5</v>
      </c>
      <c r="D487" s="19">
        <v>1.519301486E9</v>
      </c>
      <c r="E487" s="18">
        <v>3.41842834395E11</v>
      </c>
      <c r="F487" s="14">
        <v>0.1</v>
      </c>
      <c r="G487" s="14">
        <v>1.0</v>
      </c>
      <c r="H487" s="18">
        <v>3.41842834395E10</v>
      </c>
      <c r="I487" s="14">
        <v>0.41</v>
      </c>
    </row>
    <row r="488">
      <c r="A488" s="14">
        <v>2015.0</v>
      </c>
      <c r="B488" s="14" t="s">
        <v>93</v>
      </c>
      <c r="C488" s="14">
        <v>101.26</v>
      </c>
      <c r="D488" s="19">
        <v>1.036173504E10</v>
      </c>
      <c r="E488" s="18">
        <v>2.18589435448E12</v>
      </c>
      <c r="F488" s="14">
        <v>0.48</v>
      </c>
      <c r="G488" s="14">
        <v>1.0</v>
      </c>
      <c r="H488" s="18">
        <v>1.0492292901504E12</v>
      </c>
      <c r="I488" s="14">
        <v>12.7</v>
      </c>
    </row>
    <row r="489">
      <c r="A489" s="14">
        <v>2015.0</v>
      </c>
      <c r="B489" s="14" t="s">
        <v>94</v>
      </c>
      <c r="C489" s="14">
        <v>76.5</v>
      </c>
      <c r="D489" s="19">
        <v>1.0E9</v>
      </c>
      <c r="E489" s="18">
        <v>7.65E10</v>
      </c>
      <c r="F489" s="14">
        <v>1.0</v>
      </c>
      <c r="G489" s="14">
        <v>1.0</v>
      </c>
      <c r="H489" s="18">
        <v>7.65E10</v>
      </c>
      <c r="I489" s="14">
        <v>0.93</v>
      </c>
    </row>
    <row r="490">
      <c r="A490" s="14">
        <v>2015.0</v>
      </c>
      <c r="B490" s="14" t="s">
        <v>141</v>
      </c>
      <c r="C490" s="14">
        <v>33.975</v>
      </c>
      <c r="D490" s="19">
        <v>8.931498676E9</v>
      </c>
      <c r="E490" s="18">
        <v>1.21379067010238E12</v>
      </c>
      <c r="F490" s="14">
        <v>0.25</v>
      </c>
      <c r="G490" s="14">
        <v>1.0</v>
      </c>
      <c r="H490" s="18">
        <v>3.0344766752559E11</v>
      </c>
      <c r="I490" s="14">
        <v>3.67</v>
      </c>
    </row>
    <row r="491">
      <c r="A491" s="14">
        <v>2015.0</v>
      </c>
      <c r="B491" s="14" t="s">
        <v>142</v>
      </c>
      <c r="C491" s="14">
        <v>44.225</v>
      </c>
      <c r="D491" s="19">
        <v>5.622458712E9</v>
      </c>
      <c r="E491" s="18">
        <v>3.4062087194288E11</v>
      </c>
      <c r="F491" s="14">
        <v>0.73</v>
      </c>
      <c r="G491" s="14">
        <v>1.0</v>
      </c>
      <c r="H491" s="18">
        <v>2.486532365183E11</v>
      </c>
      <c r="I491" s="14">
        <v>3.01</v>
      </c>
    </row>
    <row r="492">
      <c r="A492" s="14">
        <v>2015.0</v>
      </c>
      <c r="B492" s="14" t="s">
        <v>136</v>
      </c>
      <c r="C492" s="14">
        <v>317.6</v>
      </c>
      <c r="D492" s="19">
        <v>6.97181024E8</v>
      </c>
      <c r="E492" s="18">
        <v>6.9195216632E11</v>
      </c>
      <c r="F492" s="14">
        <v>0.32</v>
      </c>
      <c r="G492" s="14">
        <v>1.0</v>
      </c>
      <c r="H492" s="18">
        <v>2.214246932224E11</v>
      </c>
      <c r="I492" s="14">
        <v>2.68</v>
      </c>
    </row>
    <row r="493">
      <c r="A493" s="14">
        <v>2015.0</v>
      </c>
      <c r="B493" s="14" t="s">
        <v>137</v>
      </c>
      <c r="C493" s="14">
        <v>199.1</v>
      </c>
      <c r="D493" s="19">
        <v>1.475085E8</v>
      </c>
      <c r="E493" s="18">
        <v>2.936894235E10</v>
      </c>
      <c r="F493" s="14">
        <v>1.0</v>
      </c>
      <c r="G493" s="14">
        <v>1.0</v>
      </c>
      <c r="H493" s="18">
        <v>2.936894235E10</v>
      </c>
      <c r="I493" s="14">
        <v>0.36</v>
      </c>
    </row>
    <row r="494">
      <c r="A494" s="14">
        <v>2015.0</v>
      </c>
      <c r="B494" s="14" t="s">
        <v>159</v>
      </c>
      <c r="C494" s="14">
        <v>60.55</v>
      </c>
      <c r="D494" s="19">
        <v>2.48396524E8</v>
      </c>
      <c r="E494" s="18">
        <v>6.01616379917E10</v>
      </c>
      <c r="F494" s="14">
        <v>0.25</v>
      </c>
      <c r="G494" s="14">
        <v>1.0</v>
      </c>
      <c r="H494" s="18">
        <v>1.504040949792E10</v>
      </c>
      <c r="I494" s="14">
        <v>0.18</v>
      </c>
    </row>
    <row r="495">
      <c r="A495" s="14">
        <v>2015.0</v>
      </c>
      <c r="B495" s="14" t="s">
        <v>104</v>
      </c>
      <c r="C495" s="14">
        <v>194000.0</v>
      </c>
      <c r="D495" s="19">
        <v>1554875.0</v>
      </c>
      <c r="E495" s="18">
        <v>3.0164575E11</v>
      </c>
      <c r="F495" s="14">
        <v>1.0</v>
      </c>
      <c r="G495" s="14">
        <v>1.0</v>
      </c>
      <c r="H495" s="18">
        <v>3.0164575E11</v>
      </c>
      <c r="I495" s="14">
        <v>3.65</v>
      </c>
    </row>
    <row r="496">
      <c r="A496" s="14">
        <v>2015.0</v>
      </c>
      <c r="B496" s="14" t="s">
        <v>160</v>
      </c>
      <c r="C496" s="14">
        <v>177.0</v>
      </c>
      <c r="D496" s="19">
        <v>4.11042225E8</v>
      </c>
      <c r="E496" s="18">
        <v>5.19674812707E11</v>
      </c>
      <c r="F496" s="14">
        <v>0.14</v>
      </c>
      <c r="G496" s="14">
        <v>1.0</v>
      </c>
      <c r="H496" s="18">
        <v>7.275447377898E10</v>
      </c>
      <c r="I496" s="14">
        <v>0.88</v>
      </c>
    </row>
    <row r="497">
      <c r="A497" s="14">
        <v>2015.0</v>
      </c>
      <c r="B497" s="14" t="s">
        <v>155</v>
      </c>
      <c r="C497" s="14">
        <v>12360.0</v>
      </c>
      <c r="D497" s="19">
        <v>1152954.0</v>
      </c>
      <c r="E497" s="18">
        <v>1.4250508968E11</v>
      </c>
      <c r="F497" s="14">
        <v>0.1</v>
      </c>
      <c r="G497" s="14">
        <v>1.0</v>
      </c>
      <c r="H497" s="18">
        <v>1.4250508968E10</v>
      </c>
      <c r="I497" s="14">
        <v>0.17</v>
      </c>
    </row>
    <row r="498">
      <c r="A498" s="14">
        <v>2015.0</v>
      </c>
      <c r="B498" s="14" t="s">
        <v>9</v>
      </c>
      <c r="C498" s="14">
        <v>0.0797</v>
      </c>
      <c r="D498" s="19">
        <v>1.2960541121562E13</v>
      </c>
      <c r="E498" s="18">
        <v>1.03295514458584E12</v>
      </c>
      <c r="F498" s="14">
        <v>0.39</v>
      </c>
      <c r="G498" s="14">
        <v>1.0</v>
      </c>
      <c r="H498" s="18">
        <v>4.0285250638848E11</v>
      </c>
      <c r="I498" s="14">
        <v>4.88</v>
      </c>
    </row>
    <row r="499">
      <c r="A499" s="14">
        <v>2015.0</v>
      </c>
      <c r="B499" s="14" t="s">
        <v>181</v>
      </c>
      <c r="C499" s="14">
        <v>1147.0</v>
      </c>
      <c r="D499" s="19">
        <v>8.3148344E7</v>
      </c>
      <c r="E499" s="18">
        <v>3.17903836756E11</v>
      </c>
      <c r="F499" s="14">
        <v>0.3</v>
      </c>
      <c r="G499" s="14">
        <v>1.0</v>
      </c>
      <c r="H499" s="18">
        <v>9.53711510268E10</v>
      </c>
      <c r="I499" s="14">
        <v>1.15</v>
      </c>
    </row>
    <row r="500">
      <c r="A500" s="14">
        <v>2014.0</v>
      </c>
      <c r="B500" s="14" t="s">
        <v>37</v>
      </c>
      <c r="C500" s="14">
        <v>11.4</v>
      </c>
      <c r="D500" s="19">
        <v>3.474E9</v>
      </c>
      <c r="E500" s="18">
        <v>1.1001E11</v>
      </c>
      <c r="F500" s="14">
        <v>0.36</v>
      </c>
      <c r="G500" s="14">
        <v>1.0</v>
      </c>
      <c r="H500" s="18">
        <v>3.96036E10</v>
      </c>
      <c r="I500" s="14">
        <v>0.61</v>
      </c>
    </row>
    <row r="501">
      <c r="A501" s="14">
        <v>2014.0</v>
      </c>
      <c r="B501" s="14" t="s">
        <v>39</v>
      </c>
      <c r="C501" s="14">
        <v>32.23</v>
      </c>
      <c r="D501" s="19">
        <v>3.55397216E8</v>
      </c>
      <c r="E501" s="18">
        <v>3.579516331677E10</v>
      </c>
      <c r="F501" s="14">
        <v>0.32</v>
      </c>
      <c r="G501" s="14">
        <v>1.0</v>
      </c>
      <c r="H501" s="18">
        <v>1.145445226137E10</v>
      </c>
      <c r="I501" s="14">
        <v>0.18</v>
      </c>
    </row>
    <row r="502">
      <c r="A502" s="14">
        <v>2014.0</v>
      </c>
      <c r="B502" s="14" t="s">
        <v>148</v>
      </c>
      <c r="C502" s="14">
        <v>1799.0</v>
      </c>
      <c r="D502" s="19">
        <v>6485440.0</v>
      </c>
      <c r="E502" s="18">
        <v>7.2920666E10</v>
      </c>
      <c r="F502" s="14">
        <v>0.16</v>
      </c>
      <c r="G502" s="14">
        <v>1.0</v>
      </c>
      <c r="H502" s="18">
        <v>1.166730656E10</v>
      </c>
      <c r="I502" s="14">
        <v>0.18</v>
      </c>
    </row>
    <row r="503">
      <c r="A503" s="14">
        <v>2014.0</v>
      </c>
      <c r="B503" s="14" t="s">
        <v>7</v>
      </c>
      <c r="C503" s="14">
        <v>63.0</v>
      </c>
      <c r="D503" s="19">
        <v>1.693942095E9</v>
      </c>
      <c r="E503" s="18">
        <v>4.6399283469E11</v>
      </c>
      <c r="F503" s="14">
        <v>0.23</v>
      </c>
      <c r="G503" s="14">
        <v>1.0</v>
      </c>
      <c r="H503" s="18">
        <v>1.067183519787E11</v>
      </c>
      <c r="I503" s="14">
        <v>1.65</v>
      </c>
    </row>
    <row r="504">
      <c r="A504" s="14">
        <v>2014.0</v>
      </c>
      <c r="B504" s="14" t="s">
        <v>149</v>
      </c>
      <c r="C504" s="14">
        <v>1250.0</v>
      </c>
      <c r="D504" s="19">
        <v>1.8068479E7</v>
      </c>
      <c r="E504" s="18">
        <v>1.882133275E11</v>
      </c>
      <c r="F504" s="14">
        <v>0.12</v>
      </c>
      <c r="G504" s="14">
        <v>1.0</v>
      </c>
      <c r="H504" s="18">
        <v>2.25855993E10</v>
      </c>
      <c r="I504" s="14">
        <v>0.35</v>
      </c>
    </row>
    <row r="505">
      <c r="A505" s="14">
        <v>2014.0</v>
      </c>
      <c r="B505" s="14" t="s">
        <v>150</v>
      </c>
      <c r="C505" s="14">
        <v>922.0</v>
      </c>
      <c r="D505" s="19">
        <v>1.8766448E7</v>
      </c>
      <c r="E505" s="18">
        <v>2.7464547064E10</v>
      </c>
      <c r="F505" s="14">
        <v>0.63</v>
      </c>
      <c r="G505" s="14">
        <v>1.0</v>
      </c>
      <c r="H505" s="18">
        <v>1.730266465032E10</v>
      </c>
      <c r="I505" s="14">
        <v>0.27</v>
      </c>
    </row>
    <row r="506">
      <c r="A506" s="14">
        <v>2014.0</v>
      </c>
      <c r="B506" s="14" t="s">
        <v>33</v>
      </c>
      <c r="C506" s="14">
        <v>24.45</v>
      </c>
      <c r="D506" s="19">
        <v>1.977993E8</v>
      </c>
      <c r="E506" s="18">
        <v>1.07470953E10</v>
      </c>
      <c r="F506" s="14">
        <v>0.45</v>
      </c>
      <c r="G506" s="14">
        <v>1.0</v>
      </c>
      <c r="H506" s="18">
        <v>4.836192885E9</v>
      </c>
      <c r="I506" s="14">
        <v>0.07</v>
      </c>
    </row>
    <row r="507">
      <c r="A507" s="14">
        <v>2014.0</v>
      </c>
      <c r="B507" s="14" t="s">
        <v>96</v>
      </c>
      <c r="C507" s="14">
        <v>501.9</v>
      </c>
      <c r="D507" s="19">
        <v>1.75920919E8</v>
      </c>
      <c r="E507" s="18">
        <v>4.20450995454E11</v>
      </c>
      <c r="F507" s="14">
        <v>0.21</v>
      </c>
      <c r="G507" s="14">
        <v>1.0</v>
      </c>
      <c r="H507" s="18">
        <v>8.829470904534E10</v>
      </c>
      <c r="I507" s="14">
        <v>1.36</v>
      </c>
    </row>
    <row r="508">
      <c r="A508" s="14">
        <v>2014.0</v>
      </c>
      <c r="B508" s="14" t="s">
        <v>188</v>
      </c>
      <c r="C508" s="14">
        <v>359.7</v>
      </c>
      <c r="D508" s="19">
        <v>4.11675E7</v>
      </c>
      <c r="E508" s="18">
        <v>4.4872575E10</v>
      </c>
      <c r="F508" s="14">
        <v>0.33</v>
      </c>
      <c r="G508" s="14">
        <v>1.0</v>
      </c>
      <c r="H508" s="18">
        <v>1.480794975E10</v>
      </c>
      <c r="I508" s="14">
        <v>0.23</v>
      </c>
    </row>
    <row r="509">
      <c r="A509" s="14">
        <v>2014.0</v>
      </c>
      <c r="B509" s="14" t="s">
        <v>189</v>
      </c>
      <c r="C509" s="14">
        <v>2.28</v>
      </c>
      <c r="D509" s="19">
        <v>1.1348767106E10</v>
      </c>
      <c r="E509" s="18">
        <v>1.437510500106E11</v>
      </c>
      <c r="F509" s="14">
        <v>0.18</v>
      </c>
      <c r="G509" s="14">
        <v>1.0</v>
      </c>
      <c r="H509" s="18">
        <v>2.587518900191E10</v>
      </c>
      <c r="I509" s="14">
        <v>0.4</v>
      </c>
    </row>
    <row r="510">
      <c r="A510" s="14">
        <v>2014.0</v>
      </c>
      <c r="B510" s="14" t="s">
        <v>108</v>
      </c>
      <c r="C510" s="14">
        <v>0.0457</v>
      </c>
      <c r="D510" s="19">
        <v>2.67679717843E11</v>
      </c>
      <c r="E510" s="18">
        <v>5.823945861075E10</v>
      </c>
      <c r="F510" s="14">
        <v>0.21</v>
      </c>
      <c r="G510" s="14">
        <v>1.0</v>
      </c>
      <c r="H510" s="18">
        <v>1.223028630826E10</v>
      </c>
      <c r="I510" s="14">
        <v>0.19</v>
      </c>
    </row>
    <row r="511">
      <c r="A511" s="14">
        <v>2014.0</v>
      </c>
      <c r="B511" s="14" t="s">
        <v>43</v>
      </c>
      <c r="C511" s="14">
        <v>130.31</v>
      </c>
      <c r="D511" s="19">
        <v>7.478659499E9</v>
      </c>
      <c r="E511" s="18">
        <v>3.084895465999E12</v>
      </c>
      <c r="F511" s="14">
        <v>0.46</v>
      </c>
      <c r="G511" s="14">
        <v>0.6867572</v>
      </c>
      <c r="H511" s="18">
        <v>9.7454411936019E11</v>
      </c>
      <c r="I511" s="14">
        <v>15.05</v>
      </c>
    </row>
    <row r="512">
      <c r="A512" s="14">
        <v>2014.0</v>
      </c>
      <c r="B512" s="14" t="s">
        <v>161</v>
      </c>
      <c r="C512" s="14">
        <v>700.0</v>
      </c>
      <c r="D512" s="19">
        <v>2.2421524E7</v>
      </c>
      <c r="E512" s="18">
        <v>3.07746411E10</v>
      </c>
      <c r="F512" s="14">
        <v>0.51</v>
      </c>
      <c r="G512" s="14">
        <v>1.0</v>
      </c>
      <c r="H512" s="18">
        <v>1.5695066961E10</v>
      </c>
      <c r="I512" s="14">
        <v>0.24</v>
      </c>
    </row>
    <row r="513">
      <c r="A513" s="14">
        <v>2014.0</v>
      </c>
      <c r="B513" s="14" t="s">
        <v>45</v>
      </c>
      <c r="C513" s="14">
        <v>8080.0</v>
      </c>
      <c r="D513" s="19">
        <v>4.7473643E7</v>
      </c>
      <c r="E513" s="18">
        <v>1.27862344608E12</v>
      </c>
      <c r="F513" s="14">
        <v>0.3</v>
      </c>
      <c r="G513" s="14">
        <v>1.0</v>
      </c>
      <c r="H513" s="18">
        <v>3.83587033824E11</v>
      </c>
      <c r="I513" s="14">
        <v>5.93</v>
      </c>
    </row>
    <row r="514">
      <c r="A514" s="14">
        <v>2014.0</v>
      </c>
      <c r="B514" s="14" t="s">
        <v>106</v>
      </c>
      <c r="C514" s="14">
        <v>0.5415</v>
      </c>
      <c r="D514" s="19">
        <v>1.31326858063E11</v>
      </c>
      <c r="E514" s="18">
        <v>2.0915733423794E11</v>
      </c>
      <c r="F514" s="14">
        <v>0.34</v>
      </c>
      <c r="G514" s="14">
        <v>1.0</v>
      </c>
      <c r="H514" s="18">
        <v>7.11134936409E10</v>
      </c>
      <c r="I514" s="14">
        <v>1.1</v>
      </c>
    </row>
    <row r="515">
      <c r="A515" s="14">
        <v>2014.0</v>
      </c>
      <c r="B515" s="14" t="s">
        <v>59</v>
      </c>
      <c r="C515" s="14">
        <v>0.0071</v>
      </c>
      <c r="D515" s="19">
        <v>1.8792E12</v>
      </c>
      <c r="E515" s="18">
        <v>7.43328E10</v>
      </c>
      <c r="F515" s="14">
        <v>0.18</v>
      </c>
      <c r="G515" s="14">
        <v>1.0</v>
      </c>
      <c r="H515" s="18">
        <v>1.3379904E10</v>
      </c>
      <c r="I515" s="14">
        <v>0.21</v>
      </c>
    </row>
    <row r="516">
      <c r="A516" s="14">
        <v>2014.0</v>
      </c>
      <c r="B516" s="14" t="s">
        <v>78</v>
      </c>
      <c r="C516" s="14">
        <v>2225.0</v>
      </c>
      <c r="D516" s="19">
        <v>3.91259097E8</v>
      </c>
      <c r="E516" s="18">
        <v>1.892503242375E12</v>
      </c>
      <c r="F516" s="14">
        <v>0.46</v>
      </c>
      <c r="G516" s="14">
        <v>1.0</v>
      </c>
      <c r="H516" s="18">
        <v>8.705514914925E11</v>
      </c>
      <c r="I516" s="14">
        <v>13.45</v>
      </c>
    </row>
    <row r="517">
      <c r="A517" s="14">
        <v>2014.0</v>
      </c>
      <c r="B517" s="14" t="s">
        <v>49</v>
      </c>
      <c r="C517" s="14">
        <v>458.0</v>
      </c>
      <c r="D517" s="19">
        <v>3.3999971E7</v>
      </c>
      <c r="E517" s="18">
        <v>4.718783847E10</v>
      </c>
      <c r="F517" s="14">
        <v>0.33</v>
      </c>
      <c r="G517" s="14">
        <v>1.0</v>
      </c>
      <c r="H517" s="18">
        <v>1.55719866951E10</v>
      </c>
      <c r="I517" s="14">
        <v>0.24</v>
      </c>
    </row>
    <row r="518">
      <c r="A518" s="14">
        <v>2014.0</v>
      </c>
      <c r="B518" s="14" t="s">
        <v>69</v>
      </c>
      <c r="C518" s="14">
        <v>10.821</v>
      </c>
      <c r="D518" s="19">
        <v>1.5644062E9</v>
      </c>
      <c r="E518" s="18">
        <v>1.2091742493E11</v>
      </c>
      <c r="F518" s="14">
        <v>0.14</v>
      </c>
      <c r="G518" s="14">
        <v>1.0</v>
      </c>
      <c r="H518" s="18">
        <v>1.69284394902E10</v>
      </c>
      <c r="I518" s="14">
        <v>0.26</v>
      </c>
    </row>
    <row r="519">
      <c r="A519" s="14">
        <v>2014.0</v>
      </c>
      <c r="B519" s="14" t="s">
        <v>162</v>
      </c>
      <c r="C519" s="14">
        <v>820.0</v>
      </c>
      <c r="D519" s="19">
        <v>9.3E7</v>
      </c>
      <c r="E519" s="18">
        <v>5.084E11</v>
      </c>
      <c r="F519" s="14">
        <v>0.15</v>
      </c>
      <c r="G519" s="14">
        <v>1.0</v>
      </c>
      <c r="H519" s="18">
        <v>7.626E10</v>
      </c>
      <c r="I519" s="14">
        <v>1.18</v>
      </c>
    </row>
    <row r="520">
      <c r="A520" s="14">
        <v>2014.0</v>
      </c>
      <c r="B520" s="14" t="s">
        <v>147</v>
      </c>
      <c r="C520" s="14">
        <v>9701.0</v>
      </c>
      <c r="D520" s="19">
        <v>5.1063132E7</v>
      </c>
      <c r="E520" s="18">
        <v>9.17339704855E11</v>
      </c>
      <c r="F520" s="14">
        <v>0.54</v>
      </c>
      <c r="G520" s="14">
        <v>1.0</v>
      </c>
      <c r="H520" s="18">
        <v>4.953634406217E11</v>
      </c>
      <c r="I520" s="14">
        <v>7.65</v>
      </c>
    </row>
    <row r="521">
      <c r="A521" s="14">
        <v>2014.0</v>
      </c>
      <c r="B521" s="14" t="s">
        <v>76</v>
      </c>
      <c r="C521" s="14">
        <v>59.06</v>
      </c>
      <c r="D521" s="19">
        <v>1.162104611E9</v>
      </c>
      <c r="E521" s="18">
        <v>1.3457627127658E11</v>
      </c>
      <c r="F521" s="14">
        <v>0.51</v>
      </c>
      <c r="G521" s="14">
        <v>1.0</v>
      </c>
      <c r="H521" s="18">
        <v>6.863389835106E10</v>
      </c>
      <c r="I521" s="14">
        <v>1.06</v>
      </c>
    </row>
    <row r="522">
      <c r="A522" s="14">
        <v>2014.0</v>
      </c>
      <c r="B522" s="14" t="s">
        <v>152</v>
      </c>
      <c r="C522" s="14">
        <v>66.8</v>
      </c>
      <c r="D522" s="19">
        <v>9.595327E7</v>
      </c>
      <c r="E522" s="18">
        <v>1.88519954E10</v>
      </c>
      <c r="F522" s="14">
        <v>0.34</v>
      </c>
      <c r="G522" s="14">
        <v>1.0</v>
      </c>
      <c r="H522" s="18">
        <v>6.409678436E9</v>
      </c>
      <c r="I522" s="14">
        <v>0.1</v>
      </c>
    </row>
    <row r="523">
      <c r="A523" s="14">
        <v>2014.0</v>
      </c>
      <c r="B523" s="14" t="s">
        <v>74</v>
      </c>
      <c r="C523" s="14">
        <v>169.05</v>
      </c>
      <c r="D523" s="19">
        <v>1.012542645E9</v>
      </c>
      <c r="E523" s="18">
        <v>3.493272126561E11</v>
      </c>
      <c r="F523" s="14">
        <v>0.49</v>
      </c>
      <c r="G523" s="14">
        <v>1.0</v>
      </c>
      <c r="H523" s="18">
        <v>1.7117033420149E11</v>
      </c>
      <c r="I523" s="14">
        <v>2.64</v>
      </c>
    </row>
    <row r="524">
      <c r="A524" s="14">
        <v>2014.0</v>
      </c>
      <c r="B524" s="14" t="s">
        <v>65</v>
      </c>
      <c r="C524" s="14">
        <v>123.4</v>
      </c>
      <c r="D524" s="19">
        <v>7.5502655E7</v>
      </c>
      <c r="E524" s="18">
        <v>2.21833992118E10</v>
      </c>
      <c r="F524" s="14">
        <v>0.42</v>
      </c>
      <c r="G524" s="14">
        <v>1.0</v>
      </c>
      <c r="H524" s="18">
        <v>9.31702766896E9</v>
      </c>
      <c r="I524" s="14">
        <v>0.14</v>
      </c>
    </row>
    <row r="525">
      <c r="A525" s="14">
        <v>2014.0</v>
      </c>
      <c r="B525" s="14" t="s">
        <v>82</v>
      </c>
      <c r="C525" s="14">
        <v>66.79</v>
      </c>
      <c r="D525" s="19">
        <v>8.39051814E8</v>
      </c>
      <c r="E525" s="18">
        <v>4.002876473596E11</v>
      </c>
      <c r="F525" s="14">
        <v>0.14</v>
      </c>
      <c r="G525" s="14">
        <v>1.0</v>
      </c>
      <c r="H525" s="18">
        <v>5.604027063034E10</v>
      </c>
      <c r="I525" s="14">
        <v>0.87</v>
      </c>
    </row>
    <row r="526">
      <c r="A526" s="14">
        <v>2014.0</v>
      </c>
      <c r="B526" s="14" t="s">
        <v>153</v>
      </c>
      <c r="C526" s="14">
        <v>1.16</v>
      </c>
      <c r="D526" s="19">
        <v>2.88897231E9</v>
      </c>
      <c r="E526" s="18">
        <v>2.2341385864E10</v>
      </c>
      <c r="F526" s="14">
        <v>0.15</v>
      </c>
      <c r="G526" s="14">
        <v>1.0</v>
      </c>
      <c r="H526" s="18">
        <v>3.3512078796E9</v>
      </c>
      <c r="I526" s="14">
        <v>0.05</v>
      </c>
    </row>
    <row r="527">
      <c r="A527" s="14">
        <v>2014.0</v>
      </c>
      <c r="B527" s="14" t="s">
        <v>130</v>
      </c>
      <c r="C527" s="14">
        <v>434.6</v>
      </c>
      <c r="D527" s="19">
        <v>8.1980262E8</v>
      </c>
      <c r="E527" s="18">
        <v>1.3195785876E12</v>
      </c>
      <c r="F527" s="14">
        <v>0.27</v>
      </c>
      <c r="G527" s="14">
        <v>1.0</v>
      </c>
      <c r="H527" s="18">
        <v>3.56286218652E11</v>
      </c>
      <c r="I527" s="14">
        <v>5.5</v>
      </c>
    </row>
    <row r="528">
      <c r="A528" s="14">
        <v>2014.0</v>
      </c>
      <c r="B528" s="14" t="s">
        <v>112</v>
      </c>
      <c r="C528" s="14">
        <v>1655.0</v>
      </c>
      <c r="D528" s="19">
        <v>2.4605E7</v>
      </c>
      <c r="E528" s="18">
        <v>2.143225E11</v>
      </c>
      <c r="F528" s="14">
        <v>0.19</v>
      </c>
      <c r="G528" s="14">
        <v>1.0</v>
      </c>
      <c r="H528" s="18">
        <v>4.0721275E10</v>
      </c>
      <c r="I528" s="14">
        <v>0.63</v>
      </c>
    </row>
    <row r="529">
      <c r="A529" s="14">
        <v>2014.0</v>
      </c>
      <c r="B529" s="14" t="s">
        <v>191</v>
      </c>
      <c r="C529" s="14">
        <v>915.0</v>
      </c>
      <c r="D529" s="19">
        <v>1.4739115E7</v>
      </c>
      <c r="E529" s="18">
        <v>3.4580231745E10</v>
      </c>
      <c r="F529" s="14">
        <v>0.39</v>
      </c>
      <c r="G529" s="14">
        <v>1.0</v>
      </c>
      <c r="H529" s="18">
        <v>1.348629038055E10</v>
      </c>
      <c r="I529" s="14">
        <v>0.21</v>
      </c>
    </row>
    <row r="530">
      <c r="A530" s="14">
        <v>2014.0</v>
      </c>
      <c r="B530" s="14" t="s">
        <v>86</v>
      </c>
      <c r="C530" s="14">
        <v>187.3</v>
      </c>
      <c r="D530" s="19">
        <v>2.1135915E8</v>
      </c>
      <c r="E530" s="18">
        <v>1.237111525312E11</v>
      </c>
      <c r="F530" s="14">
        <v>0.32</v>
      </c>
      <c r="G530" s="14">
        <v>1.0</v>
      </c>
      <c r="H530" s="18">
        <v>3.958756880998E10</v>
      </c>
      <c r="I530" s="14">
        <v>0.61</v>
      </c>
    </row>
    <row r="531">
      <c r="A531" s="14">
        <v>2014.0</v>
      </c>
      <c r="B531" s="14" t="s">
        <v>157</v>
      </c>
      <c r="C531" s="14">
        <v>510.0</v>
      </c>
      <c r="D531" s="19">
        <v>2.10409972E8</v>
      </c>
      <c r="E531" s="18">
        <v>2.1461817093E11</v>
      </c>
      <c r="F531" s="14">
        <v>0.5</v>
      </c>
      <c r="G531" s="14">
        <v>1.0</v>
      </c>
      <c r="H531" s="18">
        <v>1.07309085465E11</v>
      </c>
      <c r="I531" s="14">
        <v>1.66</v>
      </c>
    </row>
    <row r="532">
      <c r="A532" s="14">
        <v>2014.0</v>
      </c>
      <c r="B532" s="14" t="s">
        <v>132</v>
      </c>
      <c r="C532" s="14">
        <v>195.8</v>
      </c>
      <c r="D532" s="19">
        <v>1.271781338E9</v>
      </c>
      <c r="E532" s="18">
        <v>2.0751232165686E12</v>
      </c>
      <c r="F532" s="14">
        <v>0.12</v>
      </c>
      <c r="G532" s="14">
        <v>1.0</v>
      </c>
      <c r="H532" s="18">
        <v>2.4901478598823E11</v>
      </c>
      <c r="I532" s="14">
        <v>3.85</v>
      </c>
    </row>
    <row r="533">
      <c r="A533" s="14">
        <v>2014.0</v>
      </c>
      <c r="B533" s="14" t="s">
        <v>185</v>
      </c>
      <c r="C533" s="14">
        <v>0.4151</v>
      </c>
      <c r="D533" s="19">
        <v>2.2551039463E10</v>
      </c>
      <c r="E533" s="18">
        <v>6.686383200898E10</v>
      </c>
      <c r="F533" s="14">
        <v>0.14</v>
      </c>
      <c r="G533" s="14">
        <v>1.0</v>
      </c>
      <c r="H533" s="18">
        <v>9.36093648126E9</v>
      </c>
      <c r="I533" s="14">
        <v>0.14</v>
      </c>
    </row>
    <row r="534">
      <c r="A534" s="14">
        <v>2014.0</v>
      </c>
      <c r="B534" s="14" t="s">
        <v>90</v>
      </c>
      <c r="C534" s="14">
        <v>87.01</v>
      </c>
      <c r="D534" s="19">
        <v>7.47377204E8</v>
      </c>
      <c r="E534" s="18">
        <v>2.3224746623001E11</v>
      </c>
      <c r="F534" s="14">
        <v>0.28</v>
      </c>
      <c r="G534" s="14">
        <v>1.0</v>
      </c>
      <c r="H534" s="18">
        <v>6.50292905444E10</v>
      </c>
      <c r="I534" s="14">
        <v>1.0</v>
      </c>
    </row>
    <row r="535">
      <c r="A535" s="14">
        <v>2014.0</v>
      </c>
      <c r="B535" s="14" t="s">
        <v>91</v>
      </c>
      <c r="C535" s="14">
        <v>57.1</v>
      </c>
      <c r="D535" s="19">
        <v>1.45698881E8</v>
      </c>
      <c r="E535" s="18">
        <v>1.38656768799E10</v>
      </c>
      <c r="F535" s="14">
        <v>0.6</v>
      </c>
      <c r="G535" s="14">
        <v>1.0</v>
      </c>
      <c r="H535" s="18">
        <v>8.31940612794E9</v>
      </c>
      <c r="I535" s="14">
        <v>0.13</v>
      </c>
    </row>
    <row r="536">
      <c r="A536" s="14">
        <v>2014.0</v>
      </c>
      <c r="B536" s="14" t="s">
        <v>21</v>
      </c>
      <c r="C536" s="14">
        <v>354.0</v>
      </c>
      <c r="D536" s="19">
        <v>1.6E8</v>
      </c>
      <c r="E536" s="18">
        <v>7.08E11</v>
      </c>
      <c r="F536" s="14">
        <v>0.08</v>
      </c>
      <c r="G536" s="14">
        <v>1.0</v>
      </c>
      <c r="H536" s="18">
        <v>5.664E10</v>
      </c>
      <c r="I536" s="14">
        <v>0.87</v>
      </c>
    </row>
    <row r="537">
      <c r="A537" s="14">
        <v>2014.0</v>
      </c>
      <c r="B537" s="14" t="s">
        <v>93</v>
      </c>
      <c r="C537" s="14">
        <v>54.9</v>
      </c>
      <c r="D537" s="19">
        <v>1.036173504E10</v>
      </c>
      <c r="E537" s="18">
        <v>1.1851234452E12</v>
      </c>
      <c r="F537" s="14">
        <v>0.48</v>
      </c>
      <c r="G537" s="14">
        <v>1.0</v>
      </c>
      <c r="H537" s="18">
        <v>5.68859253696E11</v>
      </c>
      <c r="I537" s="14">
        <v>8.79</v>
      </c>
    </row>
    <row r="538">
      <c r="A538" s="14">
        <v>2014.0</v>
      </c>
      <c r="B538" s="14" t="s">
        <v>94</v>
      </c>
      <c r="C538" s="14">
        <v>37.7</v>
      </c>
      <c r="D538" s="19">
        <v>1.0E9</v>
      </c>
      <c r="E538" s="18">
        <v>3.77E10</v>
      </c>
      <c r="F538" s="14">
        <v>1.0</v>
      </c>
      <c r="G538" s="14">
        <v>1.0</v>
      </c>
      <c r="H538" s="18">
        <v>3.77E10</v>
      </c>
      <c r="I538" s="14">
        <v>0.58</v>
      </c>
    </row>
    <row r="539">
      <c r="A539" s="14">
        <v>2014.0</v>
      </c>
      <c r="B539" s="14" t="s">
        <v>141</v>
      </c>
      <c r="C539" s="14">
        <v>23.52</v>
      </c>
      <c r="D539" s="19">
        <v>8.931498676E9</v>
      </c>
      <c r="E539" s="18">
        <v>8.402753954616E11</v>
      </c>
      <c r="F539" s="14">
        <v>0.25</v>
      </c>
      <c r="G539" s="14">
        <v>1.0</v>
      </c>
      <c r="H539" s="18">
        <v>2.100688488654E11</v>
      </c>
      <c r="I539" s="14">
        <v>3.24</v>
      </c>
    </row>
    <row r="540">
      <c r="A540" s="14">
        <v>2014.0</v>
      </c>
      <c r="B540" s="14" t="s">
        <v>142</v>
      </c>
      <c r="C540" s="14">
        <v>29.495</v>
      </c>
      <c r="D540" s="19">
        <v>5.622458712E9</v>
      </c>
      <c r="E540" s="18">
        <v>2.2717043794133E11</v>
      </c>
      <c r="F540" s="14">
        <v>0.73</v>
      </c>
      <c r="G540" s="14">
        <v>1.0</v>
      </c>
      <c r="H540" s="18">
        <v>1.6583441969717E11</v>
      </c>
      <c r="I540" s="14">
        <v>2.56</v>
      </c>
    </row>
    <row r="541">
      <c r="A541" s="14">
        <v>2014.0</v>
      </c>
      <c r="B541" s="14" t="s">
        <v>158</v>
      </c>
      <c r="C541" s="14">
        <v>350.0</v>
      </c>
      <c r="D541" s="19">
        <v>1.5764273E7</v>
      </c>
      <c r="E541" s="18">
        <v>1.199455565E10</v>
      </c>
      <c r="F541" s="14">
        <v>0.46</v>
      </c>
      <c r="G541" s="14">
        <v>1.0</v>
      </c>
      <c r="H541" s="18">
        <v>5.517495599E9</v>
      </c>
      <c r="I541" s="14">
        <v>0.09</v>
      </c>
    </row>
    <row r="542">
      <c r="A542" s="14">
        <v>2014.0</v>
      </c>
      <c r="B542" s="14" t="s">
        <v>136</v>
      </c>
      <c r="C542" s="14">
        <v>228.5</v>
      </c>
      <c r="D542" s="19">
        <v>6.97181024E8</v>
      </c>
      <c r="E542" s="18">
        <v>4.9783082495E11</v>
      </c>
      <c r="F542" s="14">
        <v>0.32</v>
      </c>
      <c r="G542" s="14">
        <v>1.0</v>
      </c>
      <c r="H542" s="18">
        <v>1.59305863984E11</v>
      </c>
      <c r="I542" s="14">
        <v>2.46</v>
      </c>
    </row>
    <row r="543">
      <c r="A543" s="14">
        <v>2014.0</v>
      </c>
      <c r="B543" s="14" t="s">
        <v>137</v>
      </c>
      <c r="C543" s="14">
        <v>134.1</v>
      </c>
      <c r="D543" s="19">
        <v>1.475085E8</v>
      </c>
      <c r="E543" s="18">
        <v>1.978088985E10</v>
      </c>
      <c r="F543" s="14">
        <v>1.0</v>
      </c>
      <c r="G543" s="14">
        <v>1.0</v>
      </c>
      <c r="H543" s="18">
        <v>1.978088985E10</v>
      </c>
      <c r="I543" s="14">
        <v>0.31</v>
      </c>
    </row>
    <row r="544">
      <c r="A544" s="14">
        <v>2014.0</v>
      </c>
      <c r="B544" s="14" t="s">
        <v>159</v>
      </c>
      <c r="C544" s="14">
        <v>35.0</v>
      </c>
      <c r="D544" s="19">
        <v>2.62524106E8</v>
      </c>
      <c r="E544" s="18">
        <v>3.281551329E10</v>
      </c>
      <c r="F544" s="14">
        <v>0.28</v>
      </c>
      <c r="G544" s="14">
        <v>1.0</v>
      </c>
      <c r="H544" s="18">
        <v>9.1883437212E9</v>
      </c>
      <c r="I544" s="14">
        <v>0.14</v>
      </c>
    </row>
    <row r="545">
      <c r="A545" s="14">
        <v>2014.0</v>
      </c>
      <c r="B545" s="14" t="s">
        <v>104</v>
      </c>
      <c r="C545" s="14">
        <v>126000.0</v>
      </c>
      <c r="D545" s="19">
        <v>1554875.0</v>
      </c>
      <c r="E545" s="18">
        <v>1.9591425E11</v>
      </c>
      <c r="F545" s="14">
        <v>1.0</v>
      </c>
      <c r="G545" s="14">
        <v>1.0</v>
      </c>
      <c r="H545" s="18">
        <v>1.9591425E11</v>
      </c>
      <c r="I545" s="14">
        <v>3.03</v>
      </c>
    </row>
    <row r="546">
      <c r="A546" s="14">
        <v>2014.0</v>
      </c>
      <c r="B546" s="14" t="s">
        <v>160</v>
      </c>
      <c r="C546" s="14">
        <v>128.4</v>
      </c>
      <c r="D546" s="19">
        <v>9.68885244E8</v>
      </c>
      <c r="E546" s="18">
        <v>3.769844404044E11</v>
      </c>
      <c r="F546" s="14">
        <v>0.33</v>
      </c>
      <c r="G546" s="14">
        <v>1.0</v>
      </c>
      <c r="H546" s="18">
        <v>1.2440486533345E11</v>
      </c>
      <c r="I546" s="14">
        <v>1.92</v>
      </c>
    </row>
    <row r="547">
      <c r="A547" s="14">
        <v>2014.0</v>
      </c>
      <c r="B547" s="14" t="s">
        <v>155</v>
      </c>
      <c r="C547" s="14">
        <v>8340.0</v>
      </c>
      <c r="D547" s="19">
        <v>1152954.0</v>
      </c>
      <c r="E547" s="18">
        <v>9.615634692E10</v>
      </c>
      <c r="F547" s="14">
        <v>0.1</v>
      </c>
      <c r="G547" s="14">
        <v>1.0</v>
      </c>
      <c r="H547" s="18">
        <v>9.615634692E9</v>
      </c>
      <c r="I547" s="14">
        <v>0.15</v>
      </c>
    </row>
    <row r="548">
      <c r="A548" s="14">
        <v>2014.0</v>
      </c>
      <c r="B548" s="14" t="s">
        <v>9</v>
      </c>
      <c r="C548" s="14">
        <v>0.067</v>
      </c>
      <c r="D548" s="19">
        <v>1.2960541121562E13</v>
      </c>
      <c r="E548" s="18">
        <v>8.6835626960165E11</v>
      </c>
      <c r="F548" s="14">
        <v>0.39</v>
      </c>
      <c r="G548" s="14">
        <v>1.0</v>
      </c>
      <c r="H548" s="18">
        <v>3.3865894514464E11</v>
      </c>
      <c r="I548" s="14">
        <v>5.23</v>
      </c>
    </row>
    <row r="549">
      <c r="A549" s="14">
        <v>2014.0</v>
      </c>
      <c r="B549" s="14" t="s">
        <v>181</v>
      </c>
      <c r="C549" s="14">
        <v>1025.0</v>
      </c>
      <c r="D549" s="19">
        <v>7.8127303E7</v>
      </c>
      <c r="E549" s="18">
        <v>2.6693495055E11</v>
      </c>
      <c r="F549" s="14">
        <v>0.3</v>
      </c>
      <c r="G549" s="14">
        <v>1.0</v>
      </c>
      <c r="H549" s="18">
        <v>8.0080485165E10</v>
      </c>
      <c r="I549" s="14">
        <v>1.24</v>
      </c>
    </row>
    <row r="550">
      <c r="A550" s="14">
        <v>2013.0</v>
      </c>
      <c r="B550" s="14" t="s">
        <v>37</v>
      </c>
      <c r="C550" s="14">
        <v>44.8</v>
      </c>
      <c r="D550" s="19">
        <v>3.474E9</v>
      </c>
      <c r="E550" s="18">
        <v>4.3232E11</v>
      </c>
      <c r="F550" s="14">
        <v>0.36</v>
      </c>
      <c r="G550" s="14">
        <v>1.0</v>
      </c>
      <c r="H550" s="18">
        <v>1.556352E11</v>
      </c>
      <c r="I550" s="14">
        <v>2.29</v>
      </c>
    </row>
    <row r="551">
      <c r="A551" s="14">
        <v>2013.0</v>
      </c>
      <c r="B551" s="14" t="s">
        <v>39</v>
      </c>
      <c r="C551" s="14">
        <v>83.7</v>
      </c>
      <c r="D551" s="19">
        <v>3.55397216E8</v>
      </c>
      <c r="E551" s="18">
        <v>9.29585842263E10</v>
      </c>
      <c r="F551" s="14">
        <v>0.32</v>
      </c>
      <c r="G551" s="14">
        <v>1.0</v>
      </c>
      <c r="H551" s="18">
        <v>2.974674695242E10</v>
      </c>
      <c r="I551" s="14">
        <v>0.44</v>
      </c>
    </row>
    <row r="552">
      <c r="A552" s="14">
        <v>2013.0</v>
      </c>
      <c r="B552" s="14" t="s">
        <v>7</v>
      </c>
      <c r="C552" s="14">
        <v>35.67</v>
      </c>
      <c r="D552" s="19">
        <v>1.693942095E9</v>
      </c>
      <c r="E552" s="18">
        <v>2.627083240221E11</v>
      </c>
      <c r="F552" s="14">
        <v>0.23</v>
      </c>
      <c r="G552" s="14">
        <v>1.0</v>
      </c>
      <c r="H552" s="18">
        <v>6.042291452508E10</v>
      </c>
      <c r="I552" s="14">
        <v>0.89</v>
      </c>
    </row>
    <row r="553">
      <c r="A553" s="14">
        <v>2013.0</v>
      </c>
      <c r="B553" s="14" t="s">
        <v>149</v>
      </c>
      <c r="C553" s="14">
        <v>2000.0</v>
      </c>
      <c r="D553" s="19">
        <v>2.264527E7</v>
      </c>
      <c r="E553" s="18">
        <v>3.77421174E11</v>
      </c>
      <c r="F553" s="14">
        <v>0.12</v>
      </c>
      <c r="G553" s="14">
        <v>1.0</v>
      </c>
      <c r="H553" s="18">
        <v>4.529054088E10</v>
      </c>
      <c r="I553" s="14">
        <v>0.67</v>
      </c>
    </row>
    <row r="554">
      <c r="A554" s="14">
        <v>2013.0</v>
      </c>
      <c r="B554" s="14" t="s">
        <v>150</v>
      </c>
      <c r="C554" s="14">
        <v>1430.1</v>
      </c>
      <c r="D554" s="19">
        <v>3.8673878E7</v>
      </c>
      <c r="E554" s="18">
        <v>5.53075129278E10</v>
      </c>
      <c r="F554" s="14">
        <v>1.0</v>
      </c>
      <c r="G554" s="14">
        <v>1.0</v>
      </c>
      <c r="H554" s="18">
        <v>5.53075129278E10</v>
      </c>
      <c r="I554" s="14">
        <v>0.81</v>
      </c>
    </row>
    <row r="555">
      <c r="A555" s="14">
        <v>2013.0</v>
      </c>
      <c r="B555" s="14" t="s">
        <v>33</v>
      </c>
      <c r="C555" s="14">
        <v>42.0</v>
      </c>
      <c r="D555" s="19">
        <v>1.8021714E8</v>
      </c>
      <c r="E555" s="18">
        <v>1.8461268E10</v>
      </c>
      <c r="F555" s="14">
        <v>0.41</v>
      </c>
      <c r="G555" s="14">
        <v>1.0</v>
      </c>
      <c r="H555" s="18">
        <v>7.56911988E9</v>
      </c>
      <c r="I555" s="14">
        <v>0.11</v>
      </c>
    </row>
    <row r="556">
      <c r="A556" s="14">
        <v>2013.0</v>
      </c>
      <c r="B556" s="14" t="s">
        <v>96</v>
      </c>
      <c r="C556" s="14">
        <v>319.5</v>
      </c>
      <c r="D556" s="19">
        <v>1.75920919E8</v>
      </c>
      <c r="E556" s="18">
        <v>2.6765111187E11</v>
      </c>
      <c r="F556" s="14">
        <v>0.21</v>
      </c>
      <c r="G556" s="14">
        <v>1.0</v>
      </c>
      <c r="H556" s="18">
        <v>5.62067334927E10</v>
      </c>
      <c r="I556" s="14">
        <v>0.83</v>
      </c>
    </row>
    <row r="557">
      <c r="A557" s="14">
        <v>2013.0</v>
      </c>
      <c r="B557" s="14" t="s">
        <v>188</v>
      </c>
      <c r="C557" s="14">
        <v>410.0</v>
      </c>
      <c r="D557" s="19">
        <v>4.11675E7</v>
      </c>
      <c r="E557" s="18">
        <v>5.11475E10</v>
      </c>
      <c r="F557" s="14">
        <v>0.33</v>
      </c>
      <c r="G557" s="14">
        <v>1.0</v>
      </c>
      <c r="H557" s="18">
        <v>1.6878675E10</v>
      </c>
      <c r="I557" s="14">
        <v>0.25</v>
      </c>
    </row>
    <row r="558">
      <c r="A558" s="14">
        <v>2013.0</v>
      </c>
      <c r="B558" s="14" t="s">
        <v>189</v>
      </c>
      <c r="C558" s="14">
        <v>2.3474</v>
      </c>
      <c r="D558" s="19">
        <v>1.1348767106E10</v>
      </c>
      <c r="E558" s="18">
        <v>1.4800053280477E11</v>
      </c>
      <c r="F558" s="14">
        <v>0.18</v>
      </c>
      <c r="G558" s="14">
        <v>1.0</v>
      </c>
      <c r="H558" s="18">
        <v>2.664009590486E10</v>
      </c>
      <c r="I558" s="14">
        <v>0.39</v>
      </c>
    </row>
    <row r="559">
      <c r="A559" s="14">
        <v>2013.0</v>
      </c>
      <c r="B559" s="14" t="s">
        <v>108</v>
      </c>
      <c r="C559" s="14">
        <v>0.0902</v>
      </c>
      <c r="D559" s="19">
        <v>2.66099613359E11</v>
      </c>
      <c r="E559" s="18">
        <v>1.142454340022E11</v>
      </c>
      <c r="F559" s="14">
        <v>0.21</v>
      </c>
      <c r="G559" s="14">
        <v>1.0</v>
      </c>
      <c r="H559" s="18">
        <v>2.399154114046E10</v>
      </c>
      <c r="I559" s="14">
        <v>0.35</v>
      </c>
    </row>
    <row r="560">
      <c r="A560" s="14">
        <v>2013.0</v>
      </c>
      <c r="B560" s="14" t="s">
        <v>43</v>
      </c>
      <c r="C560" s="14">
        <v>138.75</v>
      </c>
      <c r="D560" s="19">
        <v>6.993851428E9</v>
      </c>
      <c r="E560" s="18">
        <v>3.284699914875E12</v>
      </c>
      <c r="F560" s="14">
        <v>0.46</v>
      </c>
      <c r="G560" s="14">
        <v>0.6422378</v>
      </c>
      <c r="H560" s="18">
        <v>9.7039688561517E11</v>
      </c>
      <c r="I560" s="14">
        <v>14.28</v>
      </c>
    </row>
    <row r="561">
      <c r="A561" s="14">
        <v>2013.0</v>
      </c>
      <c r="B561" s="14" t="s">
        <v>45</v>
      </c>
      <c r="C561" s="14">
        <v>5399.0</v>
      </c>
      <c r="D561" s="19">
        <v>4.7473643E7</v>
      </c>
      <c r="E561" s="18">
        <v>8.54367324924E11</v>
      </c>
      <c r="F561" s="14">
        <v>0.3</v>
      </c>
      <c r="G561" s="14">
        <v>1.0</v>
      </c>
      <c r="H561" s="18">
        <v>2.563101974772E11</v>
      </c>
      <c r="I561" s="14">
        <v>3.77</v>
      </c>
    </row>
    <row r="562">
      <c r="A562" s="14">
        <v>2013.0</v>
      </c>
      <c r="B562" s="14" t="s">
        <v>106</v>
      </c>
      <c r="C562" s="14">
        <v>0.5675</v>
      </c>
      <c r="D562" s="19">
        <v>1.07996756832E11</v>
      </c>
      <c r="E562" s="18">
        <v>1.8025929265334E11</v>
      </c>
      <c r="F562" s="14">
        <v>0.34</v>
      </c>
      <c r="G562" s="14">
        <v>1.0</v>
      </c>
      <c r="H562" s="18">
        <v>6.128815950214E10</v>
      </c>
      <c r="I562" s="14">
        <v>0.9</v>
      </c>
    </row>
    <row r="563">
      <c r="A563" s="14">
        <v>2013.0</v>
      </c>
      <c r="B563" s="14" t="s">
        <v>59</v>
      </c>
      <c r="C563" s="14">
        <v>0.01</v>
      </c>
      <c r="D563" s="19">
        <v>1.879200179583E12</v>
      </c>
      <c r="E563" s="18">
        <v>1.0440000997683E11</v>
      </c>
      <c r="F563" s="14">
        <v>0.18</v>
      </c>
      <c r="G563" s="14">
        <v>1.0</v>
      </c>
      <c r="H563" s="18">
        <v>1.879200179583E10</v>
      </c>
      <c r="I563" s="14">
        <v>0.28</v>
      </c>
    </row>
    <row r="564">
      <c r="A564" s="14">
        <v>2013.0</v>
      </c>
      <c r="B564" s="14" t="s">
        <v>156</v>
      </c>
      <c r="C564" s="14">
        <v>51.72</v>
      </c>
      <c r="D564" s="19">
        <v>1.06084434E8</v>
      </c>
      <c r="E564" s="18">
        <v>3.657791279148E10</v>
      </c>
      <c r="F564" s="14">
        <v>0.15</v>
      </c>
      <c r="G564" s="14">
        <v>1.0</v>
      </c>
      <c r="H564" s="18">
        <v>5.48668691872E9</v>
      </c>
      <c r="I564" s="14">
        <v>0.08</v>
      </c>
    </row>
    <row r="565">
      <c r="A565" s="14">
        <v>2013.0</v>
      </c>
      <c r="B565" s="14" t="s">
        <v>78</v>
      </c>
      <c r="C565" s="14">
        <v>2039.7</v>
      </c>
      <c r="D565" s="19">
        <v>4.40388466E8</v>
      </c>
      <c r="E565" s="18">
        <v>1.7348938712235E12</v>
      </c>
      <c r="F565" s="14">
        <v>0.57</v>
      </c>
      <c r="G565" s="14">
        <v>0.9083526</v>
      </c>
      <c r="H565" s="18">
        <v>8.9826035443043E11</v>
      </c>
      <c r="I565" s="14">
        <v>13.22</v>
      </c>
    </row>
    <row r="566">
      <c r="A566" s="14">
        <v>2013.0</v>
      </c>
      <c r="B566" s="14" t="s">
        <v>49</v>
      </c>
      <c r="C566" s="14">
        <v>610.8</v>
      </c>
      <c r="D566" s="19">
        <v>3.3999971E7</v>
      </c>
      <c r="E566" s="18">
        <v>6.2930855322E10</v>
      </c>
      <c r="F566" s="14">
        <v>0.33</v>
      </c>
      <c r="G566" s="14">
        <v>1.0</v>
      </c>
      <c r="H566" s="18">
        <v>2.076718225626E10</v>
      </c>
      <c r="I566" s="14">
        <v>0.31</v>
      </c>
    </row>
    <row r="567">
      <c r="A567" s="14">
        <v>2013.0</v>
      </c>
      <c r="B567" s="14" t="s">
        <v>69</v>
      </c>
      <c r="C567" s="14">
        <v>7.396</v>
      </c>
      <c r="D567" s="19">
        <v>1.5644062E9</v>
      </c>
      <c r="E567" s="18">
        <v>8.264534468E10</v>
      </c>
      <c r="F567" s="14">
        <v>0.14</v>
      </c>
      <c r="G567" s="14">
        <v>1.0</v>
      </c>
      <c r="H567" s="18">
        <v>1.15703482552E10</v>
      </c>
      <c r="I567" s="14">
        <v>0.17</v>
      </c>
    </row>
    <row r="568">
      <c r="A568" s="14">
        <v>2013.0</v>
      </c>
      <c r="B568" s="14" t="s">
        <v>162</v>
      </c>
      <c r="C568" s="14">
        <v>1107.4</v>
      </c>
      <c r="D568" s="19">
        <v>9.3E7</v>
      </c>
      <c r="E568" s="18">
        <v>6.86588E11</v>
      </c>
      <c r="F568" s="14">
        <v>0.15</v>
      </c>
      <c r="G568" s="14">
        <v>1.0</v>
      </c>
      <c r="H568" s="18">
        <v>1.029882E11</v>
      </c>
      <c r="I568" s="14">
        <v>1.52</v>
      </c>
    </row>
    <row r="569">
      <c r="A569" s="14">
        <v>2013.0</v>
      </c>
      <c r="B569" s="14" t="s">
        <v>147</v>
      </c>
      <c r="C569" s="14">
        <v>9240.0</v>
      </c>
      <c r="D569" s="19">
        <v>4.6383328E7</v>
      </c>
      <c r="E569" s="18">
        <v>8.737469202E11</v>
      </c>
      <c r="F569" s="14">
        <v>0.54</v>
      </c>
      <c r="G569" s="14">
        <v>0.9083526</v>
      </c>
      <c r="H569" s="18">
        <v>4.2858195482071E11</v>
      </c>
      <c r="I569" s="14">
        <v>6.31</v>
      </c>
    </row>
    <row r="570">
      <c r="A570" s="14">
        <v>2013.0</v>
      </c>
      <c r="B570" s="14" t="s">
        <v>76</v>
      </c>
      <c r="C570" s="14">
        <v>65.0</v>
      </c>
      <c r="D570" s="19">
        <v>8.80040987E8</v>
      </c>
      <c r="E570" s="18">
        <v>1.54601794945E11</v>
      </c>
      <c r="F570" s="14">
        <v>0.37</v>
      </c>
      <c r="G570" s="14">
        <v>1.0</v>
      </c>
      <c r="H570" s="18">
        <v>5.720266412965E10</v>
      </c>
      <c r="I570" s="14">
        <v>0.84</v>
      </c>
    </row>
    <row r="571">
      <c r="A571" s="14">
        <v>2013.0</v>
      </c>
      <c r="B571" s="14" t="s">
        <v>192</v>
      </c>
      <c r="C571" s="14">
        <v>0.777</v>
      </c>
      <c r="D571" s="19">
        <v>2.2551039463E10</v>
      </c>
      <c r="E571" s="18">
        <v>1.2515826902187E11</v>
      </c>
      <c r="F571" s="14">
        <v>0.14</v>
      </c>
      <c r="G571" s="14">
        <v>1.0</v>
      </c>
      <c r="H571" s="18">
        <v>1.752215766306E10</v>
      </c>
      <c r="I571" s="14">
        <v>0.26</v>
      </c>
    </row>
    <row r="572">
      <c r="A572" s="14">
        <v>2013.0</v>
      </c>
      <c r="B572" s="14" t="s">
        <v>151</v>
      </c>
      <c r="C572" s="14">
        <v>1.3893</v>
      </c>
      <c r="D572" s="19">
        <v>5.844850989E9</v>
      </c>
      <c r="E572" s="18">
        <v>6.766876232376E10</v>
      </c>
      <c r="F572" s="14">
        <v>0.12</v>
      </c>
      <c r="G572" s="14">
        <v>1.0</v>
      </c>
      <c r="H572" s="18">
        <v>8.12025147885E9</v>
      </c>
      <c r="I572" s="14">
        <v>0.12</v>
      </c>
    </row>
    <row r="573">
      <c r="A573" s="14">
        <v>2013.0</v>
      </c>
      <c r="B573" s="14" t="s">
        <v>152</v>
      </c>
      <c r="C573" s="14">
        <v>134.0</v>
      </c>
      <c r="D573" s="19">
        <v>9.595327E7</v>
      </c>
      <c r="E573" s="18">
        <v>3.7816877E10</v>
      </c>
      <c r="F573" s="14">
        <v>0.34</v>
      </c>
      <c r="G573" s="14">
        <v>1.0</v>
      </c>
      <c r="H573" s="18">
        <v>1.285773818E10</v>
      </c>
      <c r="I573" s="14">
        <v>0.19</v>
      </c>
    </row>
    <row r="574">
      <c r="A574" s="14">
        <v>2013.0</v>
      </c>
      <c r="B574" s="14" t="s">
        <v>71</v>
      </c>
      <c r="C574" s="14">
        <v>66.5</v>
      </c>
      <c r="D574" s="19">
        <v>1.45694761E8</v>
      </c>
      <c r="E574" s="18">
        <v>2.76820045425E10</v>
      </c>
      <c r="F574" s="14">
        <v>0.35</v>
      </c>
      <c r="G574" s="14">
        <v>1.0</v>
      </c>
      <c r="H574" s="18">
        <v>9.68870158988E9</v>
      </c>
      <c r="I574" s="14">
        <v>0.14</v>
      </c>
    </row>
    <row r="575">
      <c r="A575" s="14">
        <v>2013.0</v>
      </c>
      <c r="B575" s="14" t="s">
        <v>72</v>
      </c>
      <c r="C575" s="14">
        <v>35.59</v>
      </c>
      <c r="D575" s="19">
        <v>8.3254149E7</v>
      </c>
      <c r="E575" s="18">
        <v>4.93835860485E9</v>
      </c>
      <c r="F575" s="14">
        <v>0.6</v>
      </c>
      <c r="G575" s="14">
        <v>1.0</v>
      </c>
      <c r="H575" s="18">
        <v>2.96301516291E9</v>
      </c>
      <c r="I575" s="14">
        <v>0.04</v>
      </c>
    </row>
    <row r="576">
      <c r="A576" s="14">
        <v>2013.0</v>
      </c>
      <c r="B576" s="14" t="s">
        <v>74</v>
      </c>
      <c r="C576" s="14">
        <v>328.29</v>
      </c>
      <c r="D576" s="19">
        <v>1.012542645E9</v>
      </c>
      <c r="E576" s="18">
        <v>6.7838290826898E11</v>
      </c>
      <c r="F576" s="14">
        <v>0.49</v>
      </c>
      <c r="G576" s="14">
        <v>1.0</v>
      </c>
      <c r="H576" s="18">
        <v>3.324076250518E11</v>
      </c>
      <c r="I576" s="14">
        <v>4.89</v>
      </c>
    </row>
    <row r="577">
      <c r="A577" s="14">
        <v>2013.0</v>
      </c>
      <c r="B577" s="14" t="s">
        <v>65</v>
      </c>
      <c r="C577" s="14">
        <v>298.0</v>
      </c>
      <c r="D577" s="19">
        <v>4.6739739E7</v>
      </c>
      <c r="E577" s="18">
        <v>5.3570931646E10</v>
      </c>
      <c r="F577" s="14">
        <v>0.26</v>
      </c>
      <c r="G577" s="14">
        <v>1.0</v>
      </c>
      <c r="H577" s="18">
        <v>1.392844222796E10</v>
      </c>
      <c r="I577" s="14">
        <v>0.2</v>
      </c>
    </row>
    <row r="578">
      <c r="A578" s="14">
        <v>2013.0</v>
      </c>
      <c r="B578" s="14" t="s">
        <v>82</v>
      </c>
      <c r="C578" s="14">
        <v>55.18</v>
      </c>
      <c r="D578" s="19">
        <v>8.39051814E8</v>
      </c>
      <c r="E578" s="18">
        <v>3.307062791032E11</v>
      </c>
      <c r="F578" s="14">
        <v>0.14</v>
      </c>
      <c r="G578" s="14">
        <v>1.0</v>
      </c>
      <c r="H578" s="18">
        <v>4.629887907445E10</v>
      </c>
      <c r="I578" s="14">
        <v>0.68</v>
      </c>
    </row>
    <row r="579">
      <c r="A579" s="14">
        <v>2013.0</v>
      </c>
      <c r="B579" s="14" t="s">
        <v>153</v>
      </c>
      <c r="C579" s="14">
        <v>2.83</v>
      </c>
      <c r="D579" s="19">
        <v>2.88897231E9</v>
      </c>
      <c r="E579" s="18">
        <v>5.4505277582E10</v>
      </c>
      <c r="F579" s="14">
        <v>0.15</v>
      </c>
      <c r="G579" s="14">
        <v>1.0</v>
      </c>
      <c r="H579" s="18">
        <v>8.1757916373E9</v>
      </c>
      <c r="I579" s="14">
        <v>0.12</v>
      </c>
    </row>
    <row r="580">
      <c r="A580" s="14">
        <v>2013.0</v>
      </c>
      <c r="B580" s="14" t="s">
        <v>130</v>
      </c>
      <c r="C580" s="14">
        <v>399.01</v>
      </c>
      <c r="D580" s="19">
        <v>8.1980262E8</v>
      </c>
      <c r="E580" s="18">
        <v>1.21151645706E12</v>
      </c>
      <c r="F580" s="14">
        <v>0.27</v>
      </c>
      <c r="G580" s="14">
        <v>1.0</v>
      </c>
      <c r="H580" s="18">
        <v>3.271094434062E11</v>
      </c>
      <c r="I580" s="14">
        <v>4.81</v>
      </c>
    </row>
    <row r="581">
      <c r="A581" s="14">
        <v>2013.0</v>
      </c>
      <c r="B581" s="14" t="s">
        <v>112</v>
      </c>
      <c r="C581" s="14">
        <v>950.0</v>
      </c>
      <c r="D581" s="19">
        <v>2.4605E7</v>
      </c>
      <c r="E581" s="18">
        <v>1.23025E11</v>
      </c>
      <c r="F581" s="14">
        <v>0.19</v>
      </c>
      <c r="G581" s="14">
        <v>1.0</v>
      </c>
      <c r="H581" s="18">
        <v>2.337475E10</v>
      </c>
      <c r="I581" s="14">
        <v>0.34</v>
      </c>
    </row>
    <row r="582">
      <c r="A582" s="14">
        <v>2013.0</v>
      </c>
      <c r="B582" s="14" t="s">
        <v>86</v>
      </c>
      <c r="C582" s="14">
        <v>70.5</v>
      </c>
      <c r="D582" s="19">
        <v>2.77408884E8</v>
      </c>
      <c r="E582" s="18">
        <v>4.6565062752E10</v>
      </c>
      <c r="F582" s="14">
        <v>0.42</v>
      </c>
      <c r="G582" s="14">
        <v>1.0</v>
      </c>
      <c r="H582" s="18">
        <v>1.955732635584E10</v>
      </c>
      <c r="I582" s="14">
        <v>0.29</v>
      </c>
    </row>
    <row r="583">
      <c r="A583" s="14">
        <v>2013.0</v>
      </c>
      <c r="B583" s="14" t="s">
        <v>157</v>
      </c>
      <c r="C583" s="14">
        <v>309.26</v>
      </c>
      <c r="D583" s="19">
        <v>1.94736433E8</v>
      </c>
      <c r="E583" s="18">
        <v>1.204483782299E11</v>
      </c>
      <c r="F583" s="14">
        <v>0.5</v>
      </c>
      <c r="G583" s="14">
        <v>1.0</v>
      </c>
      <c r="H583" s="18">
        <v>6.022418911495E10</v>
      </c>
      <c r="I583" s="14">
        <v>0.89</v>
      </c>
    </row>
    <row r="584">
      <c r="A584" s="14">
        <v>2013.0</v>
      </c>
      <c r="B584" s="14" t="s">
        <v>132</v>
      </c>
      <c r="C584" s="14">
        <v>251.6</v>
      </c>
      <c r="D584" s="19">
        <v>1.271781338E9</v>
      </c>
      <c r="E584" s="18">
        <v>2.6665015387572E12</v>
      </c>
      <c r="F584" s="14">
        <v>0.12</v>
      </c>
      <c r="G584" s="14">
        <v>1.0</v>
      </c>
      <c r="H584" s="18">
        <v>3.1998018465086E11</v>
      </c>
      <c r="I584" s="14">
        <v>4.71</v>
      </c>
    </row>
    <row r="585">
      <c r="A585" s="14">
        <v>2013.0</v>
      </c>
      <c r="B585" s="14" t="s">
        <v>90</v>
      </c>
      <c r="C585" s="14">
        <v>110.98</v>
      </c>
      <c r="D585" s="19">
        <v>8.27453333E8</v>
      </c>
      <c r="E585" s="18">
        <v>2.9622829332498E11</v>
      </c>
      <c r="F585" s="14">
        <v>0.31</v>
      </c>
      <c r="G585" s="14">
        <v>1.0</v>
      </c>
      <c r="H585" s="18">
        <v>9.183077093074E10</v>
      </c>
      <c r="I585" s="14">
        <v>1.35</v>
      </c>
    </row>
    <row r="586">
      <c r="A586" s="14">
        <v>2013.0</v>
      </c>
      <c r="B586" s="14" t="s">
        <v>91</v>
      </c>
      <c r="C586" s="14">
        <v>74.83</v>
      </c>
      <c r="D586" s="19">
        <v>1.69982028E8</v>
      </c>
      <c r="E586" s="18">
        <v>1.817107882527E10</v>
      </c>
      <c r="F586" s="14">
        <v>0.7</v>
      </c>
      <c r="G586" s="14">
        <v>1.0</v>
      </c>
      <c r="H586" s="18">
        <v>1.271975517769E10</v>
      </c>
      <c r="I586" s="14">
        <v>0.19</v>
      </c>
    </row>
    <row r="587">
      <c r="A587" s="14">
        <v>2013.0</v>
      </c>
      <c r="B587" s="14" t="s">
        <v>193</v>
      </c>
      <c r="C587" s="14">
        <v>95.16</v>
      </c>
      <c r="D587" s="19">
        <v>1.6E8</v>
      </c>
      <c r="E587" s="18">
        <v>1.9032E11</v>
      </c>
      <c r="F587" s="14">
        <v>0.08</v>
      </c>
      <c r="G587" s="14">
        <v>1.0</v>
      </c>
      <c r="H587" s="18">
        <v>1.52256E10</v>
      </c>
      <c r="I587" s="14">
        <v>0.22</v>
      </c>
    </row>
    <row r="588">
      <c r="A588" s="14">
        <v>2013.0</v>
      </c>
      <c r="B588" s="14" t="s">
        <v>93</v>
      </c>
      <c r="C588" s="14">
        <v>101.17</v>
      </c>
      <c r="D588" s="19">
        <v>9.026802666E9</v>
      </c>
      <c r="E588" s="18">
        <v>2.18395152916E12</v>
      </c>
      <c r="F588" s="14">
        <v>0.48</v>
      </c>
      <c r="G588" s="14">
        <v>0.8711671</v>
      </c>
      <c r="H588" s="18">
        <v>9.1324162569547E11</v>
      </c>
      <c r="I588" s="14">
        <v>13.44</v>
      </c>
    </row>
    <row r="589">
      <c r="A589" s="14">
        <v>2013.0</v>
      </c>
      <c r="B589" s="14" t="s">
        <v>94</v>
      </c>
      <c r="C589" s="14">
        <v>80.21</v>
      </c>
      <c r="D589" s="19">
        <v>8.711671E8</v>
      </c>
      <c r="E589" s="18">
        <v>8.021E10</v>
      </c>
      <c r="F589" s="14">
        <v>1.0</v>
      </c>
      <c r="G589" s="14">
        <v>0.8711671</v>
      </c>
      <c r="H589" s="18">
        <v>6.9876313091E10</v>
      </c>
      <c r="I589" s="14">
        <v>1.03</v>
      </c>
    </row>
    <row r="590">
      <c r="A590" s="14">
        <v>2013.0</v>
      </c>
      <c r="B590" s="14" t="s">
        <v>141</v>
      </c>
      <c r="C590" s="14">
        <v>28.364</v>
      </c>
      <c r="D590" s="19">
        <v>8.112950044E9</v>
      </c>
      <c r="E590" s="18">
        <v>1.01333211381262E12</v>
      </c>
      <c r="F590" s="14">
        <v>0.25</v>
      </c>
      <c r="G590" s="14">
        <v>0.9083526</v>
      </c>
      <c r="H590" s="18">
        <v>2.301157150613E11</v>
      </c>
      <c r="I590" s="14">
        <v>3.39</v>
      </c>
    </row>
    <row r="591">
      <c r="A591" s="14">
        <v>2013.0</v>
      </c>
      <c r="B591" s="14" t="s">
        <v>142</v>
      </c>
      <c r="C591" s="14">
        <v>25.9</v>
      </c>
      <c r="D591" s="19">
        <v>5.107174989E9</v>
      </c>
      <c r="E591" s="18">
        <v>1.994817542865E11</v>
      </c>
      <c r="F591" s="14">
        <v>0.73</v>
      </c>
      <c r="G591" s="14">
        <v>0.9083526</v>
      </c>
      <c r="H591" s="18">
        <v>1.3227583221585E11</v>
      </c>
      <c r="I591" s="14">
        <v>1.95</v>
      </c>
    </row>
    <row r="592">
      <c r="A592" s="14">
        <v>2013.0</v>
      </c>
      <c r="B592" s="14" t="s">
        <v>158</v>
      </c>
      <c r="C592" s="14">
        <v>860.4</v>
      </c>
      <c r="D592" s="19">
        <v>1.1651854E7</v>
      </c>
      <c r="E592" s="18">
        <v>2.94860448036E10</v>
      </c>
      <c r="F592" s="14">
        <v>0.34</v>
      </c>
      <c r="G592" s="14">
        <v>1.0</v>
      </c>
      <c r="H592" s="18">
        <v>1.002525523322E10</v>
      </c>
      <c r="I592" s="14">
        <v>0.15</v>
      </c>
    </row>
    <row r="593">
      <c r="A593" s="14">
        <v>2013.0</v>
      </c>
      <c r="B593" s="14" t="s">
        <v>136</v>
      </c>
      <c r="C593" s="14">
        <v>208.22</v>
      </c>
      <c r="D593" s="19">
        <v>6.97181024E8</v>
      </c>
      <c r="E593" s="18">
        <v>4.53646977554E11</v>
      </c>
      <c r="F593" s="14">
        <v>0.32</v>
      </c>
      <c r="G593" s="14">
        <v>1.0</v>
      </c>
      <c r="H593" s="18">
        <v>1.4516703281728E11</v>
      </c>
      <c r="I593" s="14">
        <v>2.14</v>
      </c>
    </row>
    <row r="594">
      <c r="A594" s="14">
        <v>2013.0</v>
      </c>
      <c r="B594" s="14" t="s">
        <v>137</v>
      </c>
      <c r="C594" s="14">
        <v>121.7</v>
      </c>
      <c r="D594" s="19">
        <v>1.475085E8</v>
      </c>
      <c r="E594" s="18">
        <v>1.795178445E10</v>
      </c>
      <c r="F594" s="14">
        <v>1.0</v>
      </c>
      <c r="G594" s="14">
        <v>1.0</v>
      </c>
      <c r="H594" s="18">
        <v>1.795178445E10</v>
      </c>
      <c r="I594" s="14">
        <v>0.26</v>
      </c>
    </row>
    <row r="595">
      <c r="A595" s="14">
        <v>2013.0</v>
      </c>
      <c r="B595" s="14" t="s">
        <v>159</v>
      </c>
      <c r="C595" s="14">
        <v>93.83</v>
      </c>
      <c r="D595" s="19">
        <v>2.62524106E8</v>
      </c>
      <c r="E595" s="18">
        <v>8.797370320002E10</v>
      </c>
      <c r="F595" s="14">
        <v>0.28</v>
      </c>
      <c r="G595" s="14">
        <v>1.0</v>
      </c>
      <c r="H595" s="18">
        <v>2.463263689601E10</v>
      </c>
      <c r="I595" s="14">
        <v>0.36</v>
      </c>
    </row>
    <row r="596">
      <c r="A596" s="14">
        <v>2013.0</v>
      </c>
      <c r="B596" s="14" t="s">
        <v>104</v>
      </c>
      <c r="C596" s="14">
        <v>85900.0</v>
      </c>
      <c r="D596" s="19">
        <v>1554875.0</v>
      </c>
      <c r="E596" s="18">
        <v>1.335637625E11</v>
      </c>
      <c r="F596" s="14">
        <v>1.0</v>
      </c>
      <c r="G596" s="14">
        <v>1.0</v>
      </c>
      <c r="H596" s="18">
        <v>1.335637625E11</v>
      </c>
      <c r="I596" s="14">
        <v>1.97</v>
      </c>
    </row>
    <row r="597">
      <c r="A597" s="14">
        <v>2013.0</v>
      </c>
      <c r="B597" s="14" t="s">
        <v>160</v>
      </c>
      <c r="C597" s="14">
        <v>172.0</v>
      </c>
      <c r="D597" s="19">
        <v>1.233126674E9</v>
      </c>
      <c r="E597" s="18">
        <v>5.04994733252E11</v>
      </c>
      <c r="F597" s="14">
        <v>0.42</v>
      </c>
      <c r="G597" s="14">
        <v>1.0</v>
      </c>
      <c r="H597" s="18">
        <v>2.1209778796584E11</v>
      </c>
      <c r="I597" s="14">
        <v>3.12</v>
      </c>
    </row>
    <row r="598">
      <c r="A598" s="14">
        <v>2013.0</v>
      </c>
      <c r="B598" s="14" t="s">
        <v>155</v>
      </c>
      <c r="C598" s="14">
        <v>7560.0</v>
      </c>
      <c r="D598" s="19">
        <v>3343566.0</v>
      </c>
      <c r="E598" s="18">
        <v>8.716330728E10</v>
      </c>
      <c r="F598" s="14">
        <v>0.29</v>
      </c>
      <c r="G598" s="14">
        <v>1.0</v>
      </c>
      <c r="H598" s="18">
        <v>2.52773591112E10</v>
      </c>
      <c r="I598" s="14">
        <v>0.37</v>
      </c>
    </row>
    <row r="599">
      <c r="A599" s="14">
        <v>2013.0</v>
      </c>
      <c r="B599" s="14" t="s">
        <v>9</v>
      </c>
      <c r="C599" s="14">
        <v>0.0497</v>
      </c>
      <c r="D599" s="19">
        <v>5.054611121562E12</v>
      </c>
      <c r="E599" s="18">
        <v>6.4362048281221E11</v>
      </c>
      <c r="F599" s="14">
        <v>0.39</v>
      </c>
      <c r="G599" s="14">
        <v>1.0</v>
      </c>
      <c r="H599" s="18">
        <v>2.5101198829676E11</v>
      </c>
      <c r="I599" s="14">
        <v>3.69</v>
      </c>
    </row>
    <row r="600">
      <c r="A600" s="14">
        <v>2012.0</v>
      </c>
      <c r="B600" s="14" t="s">
        <v>37</v>
      </c>
      <c r="C600" s="14">
        <v>25.5</v>
      </c>
      <c r="D600" s="19">
        <v>1.158E9</v>
      </c>
      <c r="E600" s="18">
        <v>2.46075E11</v>
      </c>
      <c r="F600" s="14">
        <v>0.12</v>
      </c>
      <c r="G600" s="14">
        <v>1.0</v>
      </c>
      <c r="H600" s="18">
        <v>2.9529E10</v>
      </c>
      <c r="I600" s="14">
        <v>0.62</v>
      </c>
    </row>
    <row r="601">
      <c r="A601" s="14">
        <v>2012.0</v>
      </c>
      <c r="B601" s="14" t="s">
        <v>39</v>
      </c>
      <c r="C601" s="14">
        <v>44.91</v>
      </c>
      <c r="D601" s="19">
        <v>3.55397215E8</v>
      </c>
      <c r="E601" s="18">
        <v>4.987777798809E10</v>
      </c>
      <c r="F601" s="14">
        <v>0.32</v>
      </c>
      <c r="G601" s="14">
        <v>1.0</v>
      </c>
      <c r="H601" s="18">
        <v>1.596088892565E10</v>
      </c>
      <c r="I601" s="14">
        <v>0.33</v>
      </c>
    </row>
    <row r="602">
      <c r="A602" s="14">
        <v>2012.0</v>
      </c>
      <c r="B602" s="14" t="s">
        <v>148</v>
      </c>
      <c r="C602" s="14">
        <v>1397.5</v>
      </c>
      <c r="D602" s="19">
        <v>5269420.0</v>
      </c>
      <c r="E602" s="18">
        <v>5.6646265E10</v>
      </c>
      <c r="F602" s="14">
        <v>0.13</v>
      </c>
      <c r="G602" s="14">
        <v>1.0</v>
      </c>
      <c r="H602" s="18">
        <v>7.36401445E9</v>
      </c>
      <c r="I602" s="14">
        <v>0.15</v>
      </c>
    </row>
    <row r="603">
      <c r="A603" s="14">
        <v>2012.0</v>
      </c>
      <c r="B603" s="14" t="s">
        <v>7</v>
      </c>
      <c r="C603" s="14">
        <v>30.0</v>
      </c>
      <c r="D603" s="19">
        <v>6.62846906E8</v>
      </c>
      <c r="E603" s="18">
        <v>2.209489688E11</v>
      </c>
      <c r="F603" s="14">
        <v>0.09</v>
      </c>
      <c r="G603" s="14">
        <v>1.0</v>
      </c>
      <c r="H603" s="18">
        <v>1.988540718E10</v>
      </c>
      <c r="I603" s="14">
        <v>0.41</v>
      </c>
    </row>
    <row r="604">
      <c r="A604" s="14">
        <v>2012.0</v>
      </c>
      <c r="B604" s="14" t="s">
        <v>149</v>
      </c>
      <c r="C604" s="14">
        <v>1763.1</v>
      </c>
      <c r="D604" s="19">
        <v>2.3823765E7</v>
      </c>
      <c r="E604" s="18">
        <v>3.000262932774E11</v>
      </c>
      <c r="F604" s="14">
        <v>0.14</v>
      </c>
      <c r="G604" s="14">
        <v>1.0</v>
      </c>
      <c r="H604" s="18">
        <v>4.20036800715E10</v>
      </c>
      <c r="I604" s="14">
        <v>0.88</v>
      </c>
    </row>
    <row r="605">
      <c r="A605" s="14">
        <v>2012.0</v>
      </c>
      <c r="B605" s="14" t="s">
        <v>150</v>
      </c>
      <c r="C605" s="14">
        <v>1332.1</v>
      </c>
      <c r="D605" s="19">
        <v>3.4622686E7</v>
      </c>
      <c r="E605" s="18">
        <v>4.61208800206E10</v>
      </c>
      <c r="F605" s="14">
        <v>1.0</v>
      </c>
      <c r="G605" s="14">
        <v>1.0</v>
      </c>
      <c r="H605" s="18">
        <v>4.61208800206E10</v>
      </c>
      <c r="I605" s="14">
        <v>0.96</v>
      </c>
    </row>
    <row r="606">
      <c r="A606" s="14">
        <v>2012.0</v>
      </c>
      <c r="B606" s="14" t="s">
        <v>96</v>
      </c>
      <c r="C606" s="14">
        <v>369.6</v>
      </c>
      <c r="D606" s="19">
        <v>1.75920918E8</v>
      </c>
      <c r="E606" s="18">
        <v>3.09620816736E11</v>
      </c>
      <c r="F606" s="14">
        <v>0.21</v>
      </c>
      <c r="G606" s="14">
        <v>1.0</v>
      </c>
      <c r="H606" s="18">
        <v>6.50203712928E10</v>
      </c>
      <c r="I606" s="14">
        <v>1.35</v>
      </c>
    </row>
    <row r="607">
      <c r="A607" s="14">
        <v>2012.0</v>
      </c>
      <c r="B607" s="14" t="s">
        <v>188</v>
      </c>
      <c r="C607" s="14">
        <v>400.14</v>
      </c>
      <c r="D607" s="19">
        <v>4.11675E7</v>
      </c>
      <c r="E607" s="18">
        <v>4.9917465E10</v>
      </c>
      <c r="F607" s="14">
        <v>0.33</v>
      </c>
      <c r="G607" s="14">
        <v>1.0</v>
      </c>
      <c r="H607" s="18">
        <v>1.647276345E10</v>
      </c>
      <c r="I607" s="14">
        <v>0.34</v>
      </c>
    </row>
    <row r="608">
      <c r="A608" s="14">
        <v>2012.0</v>
      </c>
      <c r="B608" s="14" t="s">
        <v>189</v>
      </c>
      <c r="C608" s="14">
        <v>2.6165</v>
      </c>
      <c r="D608" s="19">
        <v>1.1348767106E10</v>
      </c>
      <c r="E608" s="18">
        <v>1.6496693962839E11</v>
      </c>
      <c r="F608" s="14">
        <v>0.18</v>
      </c>
      <c r="G608" s="14">
        <v>1.0</v>
      </c>
      <c r="H608" s="18">
        <v>2.969404913285E10</v>
      </c>
      <c r="I608" s="14">
        <v>0.62</v>
      </c>
    </row>
    <row r="609">
      <c r="A609" s="14">
        <v>2012.0</v>
      </c>
      <c r="B609" s="14" t="s">
        <v>108</v>
      </c>
      <c r="C609" s="14">
        <v>0.2015</v>
      </c>
      <c r="D609" s="19">
        <v>2.64681198335E11</v>
      </c>
      <c r="E609" s="18">
        <v>2.5401832720246E11</v>
      </c>
      <c r="F609" s="14">
        <v>0.21</v>
      </c>
      <c r="G609" s="14">
        <v>1.0</v>
      </c>
      <c r="H609" s="18">
        <v>5.334384871244E10</v>
      </c>
      <c r="I609" s="14">
        <v>1.11</v>
      </c>
    </row>
    <row r="610">
      <c r="A610" s="14">
        <v>2012.0</v>
      </c>
      <c r="B610" s="14" t="s">
        <v>43</v>
      </c>
      <c r="C610" s="14">
        <v>143.7</v>
      </c>
      <c r="D610" s="19">
        <v>4.976645881E9</v>
      </c>
      <c r="E610" s="18">
        <v>3.40188380373E12</v>
      </c>
      <c r="F610" s="14">
        <v>0.46</v>
      </c>
      <c r="G610" s="14">
        <v>0.457</v>
      </c>
      <c r="H610" s="18">
        <v>7.1514401313285E11</v>
      </c>
      <c r="I610" s="14">
        <v>14.9</v>
      </c>
    </row>
    <row r="611">
      <c r="A611" s="14">
        <v>2012.0</v>
      </c>
      <c r="B611" s="14" t="s">
        <v>45</v>
      </c>
      <c r="C611" s="14">
        <v>5608.0</v>
      </c>
      <c r="D611" s="19">
        <v>4.5750659E7</v>
      </c>
      <c r="E611" s="18">
        <v>1.069040405176E12</v>
      </c>
      <c r="F611" s="14">
        <v>0.24</v>
      </c>
      <c r="G611" s="14">
        <v>1.0</v>
      </c>
      <c r="H611" s="18">
        <v>2.56569695672E11</v>
      </c>
      <c r="I611" s="14">
        <v>5.35</v>
      </c>
    </row>
    <row r="612">
      <c r="A612" s="14">
        <v>2012.0</v>
      </c>
      <c r="B612" s="14" t="s">
        <v>106</v>
      </c>
      <c r="C612" s="14">
        <v>0.7335</v>
      </c>
      <c r="D612" s="19">
        <v>8.7090810713E10</v>
      </c>
      <c r="E612" s="18">
        <v>2.12937032195E11</v>
      </c>
      <c r="F612" s="14">
        <v>0.3</v>
      </c>
      <c r="G612" s="14">
        <v>1.0</v>
      </c>
      <c r="H612" s="18">
        <v>6.388110965799E10</v>
      </c>
      <c r="I612" s="14">
        <v>1.33</v>
      </c>
    </row>
    <row r="613">
      <c r="A613" s="14">
        <v>2012.0</v>
      </c>
      <c r="B613" s="14" t="s">
        <v>59</v>
      </c>
      <c r="C613" s="14">
        <v>0.0248</v>
      </c>
      <c r="D613" s="19">
        <v>1.55456E12</v>
      </c>
      <c r="E613" s="18">
        <v>2.4124828E11</v>
      </c>
      <c r="F613" s="14">
        <v>0.16</v>
      </c>
      <c r="G613" s="14">
        <v>1.0</v>
      </c>
      <c r="H613" s="18">
        <v>3.85997248E10</v>
      </c>
      <c r="I613" s="14">
        <v>0.8</v>
      </c>
    </row>
    <row r="614">
      <c r="A614" s="14">
        <v>2012.0</v>
      </c>
      <c r="B614" s="14" t="s">
        <v>78</v>
      </c>
      <c r="C614" s="14">
        <v>2001.1</v>
      </c>
      <c r="D614" s="19">
        <v>3.31908494E8</v>
      </c>
      <c r="E614" s="18">
        <v>1.7020621295805E12</v>
      </c>
      <c r="F614" s="14">
        <v>0.57</v>
      </c>
      <c r="G614" s="14">
        <v>0.6846</v>
      </c>
      <c r="H614" s="18">
        <v>6.641820873434E11</v>
      </c>
      <c r="I614" s="14">
        <v>13.84</v>
      </c>
    </row>
    <row r="615">
      <c r="A615" s="14">
        <v>2012.0</v>
      </c>
      <c r="B615" s="14" t="s">
        <v>49</v>
      </c>
      <c r="C615" s="14">
        <v>561.5</v>
      </c>
      <c r="D615" s="19">
        <v>1.5454532E7</v>
      </c>
      <c r="E615" s="18">
        <v>5.78514657225E10</v>
      </c>
      <c r="F615" s="14">
        <v>0.15</v>
      </c>
      <c r="G615" s="14">
        <v>1.0</v>
      </c>
      <c r="H615" s="18">
        <v>8.677719718E9</v>
      </c>
      <c r="I615" s="14">
        <v>0.18</v>
      </c>
    </row>
    <row r="616">
      <c r="A616" s="14">
        <v>2012.0</v>
      </c>
      <c r="B616" s="14" t="s">
        <v>69</v>
      </c>
      <c r="C616" s="14">
        <v>10.418</v>
      </c>
      <c r="D616" s="19">
        <v>5.587165E8</v>
      </c>
      <c r="E616" s="18">
        <v>1.1641416994E11</v>
      </c>
      <c r="F616" s="14">
        <v>0.05</v>
      </c>
      <c r="G616" s="14">
        <v>1.0</v>
      </c>
      <c r="H616" s="18">
        <v>5.820708497E9</v>
      </c>
      <c r="I616" s="14">
        <v>0.12</v>
      </c>
    </row>
    <row r="617">
      <c r="A617" s="14">
        <v>2012.0</v>
      </c>
      <c r="B617" s="14" t="s">
        <v>147</v>
      </c>
      <c r="C617" s="14">
        <v>4839.8</v>
      </c>
      <c r="D617" s="19">
        <v>2.2694725E7</v>
      </c>
      <c r="E617" s="18">
        <v>4.57658045929E11</v>
      </c>
      <c r="F617" s="14">
        <v>0.24</v>
      </c>
      <c r="G617" s="14">
        <v>1.0</v>
      </c>
      <c r="H617" s="18">
        <v>1.09837930055E11</v>
      </c>
      <c r="I617" s="14">
        <v>2.29</v>
      </c>
    </row>
    <row r="618">
      <c r="A618" s="14">
        <v>2012.0</v>
      </c>
      <c r="B618" s="14" t="s">
        <v>192</v>
      </c>
      <c r="C618" s="14">
        <v>1.957</v>
      </c>
      <c r="D618" s="19">
        <v>1.4361508324E10</v>
      </c>
      <c r="E618" s="18">
        <v>9.368490597211E10</v>
      </c>
      <c r="F618" s="14">
        <v>0.3</v>
      </c>
      <c r="G618" s="14">
        <v>1.0</v>
      </c>
      <c r="H618" s="18">
        <v>2.810547179007E10</v>
      </c>
      <c r="I618" s="14">
        <v>0.59</v>
      </c>
    </row>
    <row r="619">
      <c r="A619" s="14">
        <v>2012.0</v>
      </c>
      <c r="B619" s="14" t="s">
        <v>126</v>
      </c>
      <c r="C619" s="14">
        <v>1.3344</v>
      </c>
      <c r="D619" s="19">
        <v>3.9562403955E10</v>
      </c>
      <c r="E619" s="18">
        <v>5.304154558368E10</v>
      </c>
      <c r="F619" s="14">
        <v>0.15</v>
      </c>
      <c r="G619" s="14">
        <v>1.0</v>
      </c>
      <c r="H619" s="18">
        <v>7.95623183755E9</v>
      </c>
      <c r="I619" s="14">
        <v>0.17</v>
      </c>
    </row>
    <row r="620">
      <c r="A620" s="14">
        <v>2012.0</v>
      </c>
      <c r="B620" s="14" t="s">
        <v>151</v>
      </c>
      <c r="C620" s="14">
        <v>1.51</v>
      </c>
      <c r="D620" s="19">
        <v>8.767276483E9</v>
      </c>
      <c r="E620" s="18">
        <v>7.354770827674E10</v>
      </c>
      <c r="F620" s="14">
        <v>0.18</v>
      </c>
      <c r="G620" s="14">
        <v>1.0</v>
      </c>
      <c r="H620" s="18">
        <v>1.323858748933E10</v>
      </c>
      <c r="I620" s="14">
        <v>0.28</v>
      </c>
    </row>
    <row r="621">
      <c r="A621" s="14">
        <v>2012.0</v>
      </c>
      <c r="B621" s="14" t="s">
        <v>152</v>
      </c>
      <c r="C621" s="14">
        <v>181.3</v>
      </c>
      <c r="D621" s="19">
        <v>8.466465E7</v>
      </c>
      <c r="E621" s="18">
        <v>5.116567015E10</v>
      </c>
      <c r="F621" s="14">
        <v>0.3</v>
      </c>
      <c r="G621" s="14">
        <v>1.0</v>
      </c>
      <c r="H621" s="18">
        <v>1.5349701045E10</v>
      </c>
      <c r="I621" s="14">
        <v>0.32</v>
      </c>
    </row>
    <row r="622">
      <c r="A622" s="14">
        <v>2012.0</v>
      </c>
      <c r="B622" s="14" t="s">
        <v>71</v>
      </c>
      <c r="C622" s="14">
        <v>204.6</v>
      </c>
      <c r="D622" s="19">
        <v>7.4928734E7</v>
      </c>
      <c r="E622" s="18">
        <v>8.5168994427E10</v>
      </c>
      <c r="F622" s="14">
        <v>0.18</v>
      </c>
      <c r="G622" s="14">
        <v>1.0</v>
      </c>
      <c r="H622" s="18">
        <v>1.53304189764E10</v>
      </c>
      <c r="I622" s="14">
        <v>0.32</v>
      </c>
    </row>
    <row r="623">
      <c r="A623" s="14">
        <v>2012.0</v>
      </c>
      <c r="B623" s="14" t="s">
        <v>72</v>
      </c>
      <c r="C623" s="14">
        <v>119.04</v>
      </c>
      <c r="D623" s="19">
        <v>1.24881223E8</v>
      </c>
      <c r="E623" s="18">
        <v>1.65176231616E10</v>
      </c>
      <c r="F623" s="14">
        <v>0.9</v>
      </c>
      <c r="G623" s="14">
        <v>1.0</v>
      </c>
      <c r="H623" s="18">
        <v>1.486586078592E10</v>
      </c>
      <c r="I623" s="14">
        <v>0.31</v>
      </c>
    </row>
    <row r="624">
      <c r="A624" s="14">
        <v>2012.0</v>
      </c>
      <c r="B624" s="14" t="s">
        <v>74</v>
      </c>
      <c r="C624" s="14">
        <v>245.55</v>
      </c>
      <c r="D624" s="19">
        <v>2.47969627E8</v>
      </c>
      <c r="E624" s="18">
        <v>5.074078501491E11</v>
      </c>
      <c r="F624" s="14">
        <v>0.12</v>
      </c>
      <c r="G624" s="14">
        <v>1.0</v>
      </c>
      <c r="H624" s="18">
        <v>6.088894190985E10</v>
      </c>
      <c r="I624" s="14">
        <v>1.27</v>
      </c>
    </row>
    <row r="625">
      <c r="A625" s="14">
        <v>2012.0</v>
      </c>
      <c r="B625" s="14" t="s">
        <v>65</v>
      </c>
      <c r="C625" s="14">
        <v>242.38</v>
      </c>
      <c r="D625" s="19">
        <v>4.6739739E7</v>
      </c>
      <c r="E625" s="18">
        <v>4.357222286026E10</v>
      </c>
      <c r="F625" s="14">
        <v>0.26</v>
      </c>
      <c r="G625" s="14">
        <v>1.0</v>
      </c>
      <c r="H625" s="18">
        <v>1.132877793882E10</v>
      </c>
      <c r="I625" s="14">
        <v>0.24</v>
      </c>
    </row>
    <row r="626">
      <c r="A626" s="14">
        <v>2012.0</v>
      </c>
      <c r="B626" s="14" t="s">
        <v>82</v>
      </c>
      <c r="C626" s="14">
        <v>61.19</v>
      </c>
      <c r="D626" s="19">
        <v>8.39051813E8</v>
      </c>
      <c r="E626" s="18">
        <v>3.667255748156E11</v>
      </c>
      <c r="F626" s="14">
        <v>0.14</v>
      </c>
      <c r="G626" s="14">
        <v>1.0</v>
      </c>
      <c r="H626" s="18">
        <v>5.134158043747E10</v>
      </c>
      <c r="I626" s="14">
        <v>1.07</v>
      </c>
    </row>
    <row r="627">
      <c r="A627" s="14">
        <v>2012.0</v>
      </c>
      <c r="B627" s="14" t="s">
        <v>153</v>
      </c>
      <c r="C627" s="14">
        <v>2.8494</v>
      </c>
      <c r="D627" s="19">
        <v>5.77794462E9</v>
      </c>
      <c r="E627" s="18">
        <v>5.487891800076E10</v>
      </c>
      <c r="F627" s="14">
        <v>0.3</v>
      </c>
      <c r="G627" s="14">
        <v>1.0</v>
      </c>
      <c r="H627" s="18">
        <v>1.646367540023E10</v>
      </c>
      <c r="I627" s="14">
        <v>0.34</v>
      </c>
    </row>
    <row r="628">
      <c r="A628" s="14">
        <v>2012.0</v>
      </c>
      <c r="B628" s="14" t="s">
        <v>130</v>
      </c>
      <c r="C628" s="14">
        <v>345.92</v>
      </c>
      <c r="D628" s="19">
        <v>5.4653508E8</v>
      </c>
      <c r="E628" s="18">
        <v>1.05031897152E12</v>
      </c>
      <c r="F628" s="14">
        <v>0.18</v>
      </c>
      <c r="G628" s="14">
        <v>1.0</v>
      </c>
      <c r="H628" s="18">
        <v>1.890574148736E11</v>
      </c>
      <c r="I628" s="14">
        <v>3.94</v>
      </c>
    </row>
    <row r="629">
      <c r="A629" s="14">
        <v>2012.0</v>
      </c>
      <c r="B629" s="14" t="s">
        <v>154</v>
      </c>
      <c r="C629" s="14">
        <v>0.3435</v>
      </c>
      <c r="D629" s="19">
        <v>2.0764774436E10</v>
      </c>
      <c r="E629" s="18">
        <v>2.037914291076E10</v>
      </c>
      <c r="F629" s="14">
        <v>0.35</v>
      </c>
      <c r="G629" s="14">
        <v>1.0</v>
      </c>
      <c r="H629" s="18">
        <v>7.13270001877E9</v>
      </c>
      <c r="I629" s="14">
        <v>0.15</v>
      </c>
    </row>
    <row r="630">
      <c r="A630" s="14">
        <v>2012.0</v>
      </c>
      <c r="B630" s="14" t="s">
        <v>112</v>
      </c>
      <c r="C630" s="14">
        <v>1246.1</v>
      </c>
      <c r="D630" s="19">
        <v>1.2447708E7</v>
      </c>
      <c r="E630" s="18">
        <v>1.55110889388E11</v>
      </c>
      <c r="F630" s="14">
        <v>0.1</v>
      </c>
      <c r="G630" s="14">
        <v>1.0</v>
      </c>
      <c r="H630" s="18">
        <v>1.55110889388E10</v>
      </c>
      <c r="I630" s="14">
        <v>0.32</v>
      </c>
    </row>
    <row r="631">
      <c r="A631" s="14">
        <v>2012.0</v>
      </c>
      <c r="B631" s="14" t="s">
        <v>191</v>
      </c>
      <c r="C631" s="14">
        <v>1629.5</v>
      </c>
      <c r="D631" s="19">
        <v>6802668.0</v>
      </c>
      <c r="E631" s="18">
        <v>6.15830465885E10</v>
      </c>
      <c r="F631" s="14">
        <v>0.18</v>
      </c>
      <c r="G631" s="14">
        <v>1.0</v>
      </c>
      <c r="H631" s="18">
        <v>1.1084947506E10</v>
      </c>
      <c r="I631" s="14">
        <v>0.23</v>
      </c>
    </row>
    <row r="632">
      <c r="A632" s="14">
        <v>2012.0</v>
      </c>
      <c r="B632" s="14" t="s">
        <v>86</v>
      </c>
      <c r="C632" s="14">
        <v>67.5</v>
      </c>
      <c r="D632" s="19">
        <v>1.52910719E8</v>
      </c>
      <c r="E632" s="18">
        <v>3.329507592E10</v>
      </c>
      <c r="F632" s="14">
        <v>0.31</v>
      </c>
      <c r="G632" s="14">
        <v>1.0</v>
      </c>
      <c r="H632" s="18">
        <v>1.03214735352E10</v>
      </c>
      <c r="I632" s="14">
        <v>0.22</v>
      </c>
    </row>
    <row r="633">
      <c r="A633" s="14">
        <v>2012.0</v>
      </c>
      <c r="B633" s="14" t="s">
        <v>146</v>
      </c>
      <c r="C633" s="14">
        <v>58.0</v>
      </c>
      <c r="D633" s="19">
        <v>1.40543965E8</v>
      </c>
      <c r="E633" s="18">
        <v>4.5286388864E10</v>
      </c>
      <c r="F633" s="14">
        <v>0.18</v>
      </c>
      <c r="G633" s="14">
        <v>1.0</v>
      </c>
      <c r="H633" s="18">
        <v>8.15154997E9</v>
      </c>
      <c r="I633" s="14">
        <v>0.17</v>
      </c>
    </row>
    <row r="634">
      <c r="A634" s="14">
        <v>2012.0</v>
      </c>
      <c r="B634" s="14" t="s">
        <v>132</v>
      </c>
      <c r="C634" s="14">
        <v>270.17</v>
      </c>
      <c r="D634" s="19">
        <v>1.08832688E9</v>
      </c>
      <c r="E634" s="18">
        <v>2.86330970081889E12</v>
      </c>
      <c r="F634" s="14">
        <v>0.15</v>
      </c>
      <c r="G634" s="14">
        <v>0.6846</v>
      </c>
      <c r="H634" s="18">
        <v>2.940332731696E11</v>
      </c>
      <c r="I634" s="14">
        <v>6.13</v>
      </c>
    </row>
    <row r="635">
      <c r="A635" s="14">
        <v>2012.0</v>
      </c>
      <c r="B635" s="14" t="s">
        <v>90</v>
      </c>
      <c r="C635" s="14">
        <v>120.35</v>
      </c>
      <c r="D635" s="19">
        <v>1.265601055E9</v>
      </c>
      <c r="E635" s="18">
        <v>3.5422113267415E11</v>
      </c>
      <c r="F635" s="14">
        <v>0.43</v>
      </c>
      <c r="G635" s="14">
        <v>1.0</v>
      </c>
      <c r="H635" s="18">
        <v>1.5231508696925E11</v>
      </c>
      <c r="I635" s="14">
        <v>3.17</v>
      </c>
    </row>
    <row r="636">
      <c r="A636" s="14">
        <v>2012.0</v>
      </c>
      <c r="B636" s="14" t="s">
        <v>91</v>
      </c>
      <c r="C636" s="14">
        <v>90.42</v>
      </c>
      <c r="D636" s="19">
        <v>2.42831469E8</v>
      </c>
      <c r="E636" s="18">
        <v>2.195682142698E10</v>
      </c>
      <c r="F636" s="14">
        <v>1.0</v>
      </c>
      <c r="G636" s="14">
        <v>1.0</v>
      </c>
      <c r="H636" s="18">
        <v>2.195682142698E10</v>
      </c>
      <c r="I636" s="14">
        <v>0.46</v>
      </c>
    </row>
    <row r="637">
      <c r="A637" s="14">
        <v>2012.0</v>
      </c>
      <c r="B637" s="14" t="s">
        <v>193</v>
      </c>
      <c r="C637" s="14">
        <v>191.87</v>
      </c>
      <c r="D637" s="19">
        <v>1.6E8</v>
      </c>
      <c r="E637" s="18">
        <v>3.8374E11</v>
      </c>
      <c r="F637" s="14">
        <v>0.08</v>
      </c>
      <c r="G637" s="14">
        <v>1.0</v>
      </c>
      <c r="H637" s="18">
        <v>3.06992E10</v>
      </c>
      <c r="I637" s="14">
        <v>0.64</v>
      </c>
    </row>
    <row r="638">
      <c r="A638" s="14">
        <v>2012.0</v>
      </c>
      <c r="B638" s="14" t="s">
        <v>93</v>
      </c>
      <c r="C638" s="14">
        <v>92.91</v>
      </c>
      <c r="D638" s="19">
        <v>7.093643808E9</v>
      </c>
      <c r="E638" s="18">
        <v>2.00564333868E12</v>
      </c>
      <c r="F638" s="14">
        <v>0.48</v>
      </c>
      <c r="G638" s="14">
        <v>0.6846</v>
      </c>
      <c r="H638" s="18">
        <v>6.5907044620128E11</v>
      </c>
      <c r="I638" s="14">
        <v>13.73</v>
      </c>
    </row>
    <row r="639">
      <c r="A639" s="14">
        <v>2012.0</v>
      </c>
      <c r="B639" s="14" t="s">
        <v>94</v>
      </c>
      <c r="C639" s="14">
        <v>67.32</v>
      </c>
      <c r="D639" s="19">
        <v>6.846E8</v>
      </c>
      <c r="E639" s="18">
        <v>6.732E10</v>
      </c>
      <c r="F639" s="14">
        <v>1.0</v>
      </c>
      <c r="G639" s="14">
        <v>0.6846</v>
      </c>
      <c r="H639" s="18">
        <v>4.6087272E10</v>
      </c>
      <c r="I639" s="14">
        <v>0.96</v>
      </c>
    </row>
    <row r="640">
      <c r="A640" s="14">
        <v>2012.0</v>
      </c>
      <c r="B640" s="14" t="s">
        <v>141</v>
      </c>
      <c r="C640" s="14">
        <v>26.826</v>
      </c>
      <c r="D640" s="19">
        <v>6.114503993E9</v>
      </c>
      <c r="E640" s="18">
        <v>9.5838553395633E11</v>
      </c>
      <c r="F640" s="14">
        <v>0.25</v>
      </c>
      <c r="G640" s="14">
        <v>0.6846</v>
      </c>
      <c r="H640" s="18">
        <v>1.6402768411622E11</v>
      </c>
      <c r="I640" s="14">
        <v>3.42</v>
      </c>
    </row>
    <row r="641">
      <c r="A641" s="14">
        <v>2012.0</v>
      </c>
      <c r="B641" s="14" t="s">
        <v>142</v>
      </c>
      <c r="C641" s="14">
        <v>19.948</v>
      </c>
      <c r="D641" s="19">
        <v>3.849135233E9</v>
      </c>
      <c r="E641" s="18">
        <v>1.5363946079178E11</v>
      </c>
      <c r="F641" s="14">
        <v>0.73</v>
      </c>
      <c r="G641" s="14">
        <v>0.6846</v>
      </c>
      <c r="H641" s="18">
        <v>7.678254962788E10</v>
      </c>
      <c r="I641" s="14">
        <v>1.6</v>
      </c>
    </row>
    <row r="642">
      <c r="A642" s="14">
        <v>2012.0</v>
      </c>
      <c r="B642" s="14" t="s">
        <v>158</v>
      </c>
      <c r="C642" s="14">
        <v>686.7</v>
      </c>
      <c r="D642" s="19">
        <v>1.1651854E7</v>
      </c>
      <c r="E642" s="18">
        <v>2.35333181853E10</v>
      </c>
      <c r="F642" s="14">
        <v>0.34</v>
      </c>
      <c r="G642" s="14">
        <v>1.0</v>
      </c>
      <c r="H642" s="18">
        <v>8.0013281418E9</v>
      </c>
      <c r="I642" s="14">
        <v>0.17</v>
      </c>
    </row>
    <row r="643">
      <c r="A643" s="14">
        <v>2012.0</v>
      </c>
      <c r="B643" s="14" t="s">
        <v>136</v>
      </c>
      <c r="C643" s="14">
        <v>218.0</v>
      </c>
      <c r="D643" s="19">
        <v>6.97181024E8</v>
      </c>
      <c r="E643" s="18">
        <v>4.749545726E11</v>
      </c>
      <c r="F643" s="14">
        <v>0.32</v>
      </c>
      <c r="G643" s="14">
        <v>1.0</v>
      </c>
      <c r="H643" s="18">
        <v>1.51985463232E11</v>
      </c>
      <c r="I643" s="14">
        <v>3.17</v>
      </c>
    </row>
    <row r="644">
      <c r="A644" s="14">
        <v>2012.0</v>
      </c>
      <c r="B644" s="14" t="s">
        <v>137</v>
      </c>
      <c r="C644" s="14">
        <v>106.07</v>
      </c>
      <c r="D644" s="19">
        <v>1.475085E8</v>
      </c>
      <c r="E644" s="18">
        <v>1.5646226595E10</v>
      </c>
      <c r="F644" s="14">
        <v>1.0</v>
      </c>
      <c r="G644" s="14">
        <v>1.0</v>
      </c>
      <c r="H644" s="18">
        <v>1.5646226595E10</v>
      </c>
      <c r="I644" s="14">
        <v>0.33</v>
      </c>
    </row>
    <row r="645">
      <c r="A645" s="14">
        <v>2012.0</v>
      </c>
      <c r="B645" s="14" t="s">
        <v>104</v>
      </c>
      <c r="C645" s="14">
        <v>68334.0</v>
      </c>
      <c r="D645" s="19">
        <v>1554875.0</v>
      </c>
      <c r="E645" s="18">
        <v>1.06250828825E11</v>
      </c>
      <c r="F645" s="14">
        <v>1.0</v>
      </c>
      <c r="G645" s="14">
        <v>1.0</v>
      </c>
      <c r="H645" s="18">
        <v>1.06250828825E11</v>
      </c>
      <c r="I645" s="14">
        <v>2.21</v>
      </c>
    </row>
    <row r="646">
      <c r="A646" s="14">
        <v>2012.0</v>
      </c>
      <c r="B646" s="14" t="s">
        <v>160</v>
      </c>
      <c r="C646" s="14">
        <v>234.76</v>
      </c>
      <c r="D646" s="19">
        <v>1.033051871E9</v>
      </c>
      <c r="E646" s="18">
        <v>6.8925909057116E11</v>
      </c>
      <c r="F646" s="14">
        <v>0.45</v>
      </c>
      <c r="G646" s="14">
        <v>0.7819</v>
      </c>
      <c r="H646" s="18">
        <v>2.4251925723596E11</v>
      </c>
      <c r="I646" s="14">
        <v>5.05</v>
      </c>
    </row>
    <row r="647">
      <c r="A647" s="14">
        <v>2012.0</v>
      </c>
      <c r="B647" s="14" t="s">
        <v>155</v>
      </c>
      <c r="C647" s="14">
        <v>6409.0</v>
      </c>
      <c r="D647" s="19">
        <v>3343566.0</v>
      </c>
      <c r="E647" s="18">
        <v>7.3892809042E10</v>
      </c>
      <c r="F647" s="14">
        <v>0.29</v>
      </c>
      <c r="G647" s="14">
        <v>1.0</v>
      </c>
      <c r="H647" s="18">
        <v>2.1428914494E10</v>
      </c>
      <c r="I647" s="14">
        <v>0.45</v>
      </c>
    </row>
    <row r="648">
      <c r="A648" s="14">
        <v>2012.0</v>
      </c>
      <c r="B648" s="14" t="s">
        <v>9</v>
      </c>
      <c r="C648" s="14">
        <v>0.0536</v>
      </c>
      <c r="D648" s="19">
        <v>2.615135334334E12</v>
      </c>
      <c r="E648" s="18">
        <v>5.6078962109469E11</v>
      </c>
      <c r="F648" s="14">
        <v>0.25</v>
      </c>
      <c r="G648" s="14">
        <v>1.0</v>
      </c>
      <c r="H648" s="18">
        <v>1.4019740527365E11</v>
      </c>
      <c r="I648" s="14">
        <v>2.92</v>
      </c>
    </row>
    <row r="649">
      <c r="A649" s="14">
        <v>2012.0</v>
      </c>
      <c r="B649" s="14" t="s">
        <v>194</v>
      </c>
      <c r="C649" s="14">
        <v>537.7</v>
      </c>
      <c r="D649" s="19">
        <v>9024503.0</v>
      </c>
      <c r="E649" s="18">
        <v>1.27696727638E10</v>
      </c>
      <c r="F649" s="14">
        <v>0.38</v>
      </c>
      <c r="G649" s="14">
        <v>1.0</v>
      </c>
      <c r="H649" s="18">
        <v>4.8524752631E9</v>
      </c>
      <c r="I649" s="14">
        <v>0.1</v>
      </c>
    </row>
    <row r="650">
      <c r="A650" s="14">
        <v>2011.0</v>
      </c>
      <c r="B650" s="14" t="s">
        <v>39</v>
      </c>
      <c r="C650" s="14">
        <v>50.27</v>
      </c>
      <c r="D650" s="19">
        <v>4.33140356E8</v>
      </c>
      <c r="E650" s="18">
        <v>5.583068135073E10</v>
      </c>
      <c r="F650" s="14">
        <v>0.39</v>
      </c>
      <c r="G650" s="14">
        <v>1.0</v>
      </c>
      <c r="H650" s="18">
        <v>2.177396569612E10</v>
      </c>
      <c r="I650" s="14">
        <v>0.45</v>
      </c>
    </row>
    <row r="651">
      <c r="A651" s="14">
        <v>2011.0</v>
      </c>
      <c r="B651" s="14" t="s">
        <v>96</v>
      </c>
      <c r="C651" s="14">
        <v>364.4</v>
      </c>
      <c r="D651" s="19">
        <v>1.7130923E8</v>
      </c>
      <c r="E651" s="18">
        <v>3.67206373762E11</v>
      </c>
      <c r="F651" s="14">
        <v>0.17</v>
      </c>
      <c r="G651" s="14">
        <v>1.0</v>
      </c>
      <c r="H651" s="18">
        <v>6.2425083412E10</v>
      </c>
      <c r="I651" s="14">
        <v>1.3</v>
      </c>
    </row>
    <row r="652">
      <c r="A652" s="14">
        <v>2011.0</v>
      </c>
      <c r="B652" s="14" t="s">
        <v>108</v>
      </c>
      <c r="C652" s="14">
        <v>0.2811</v>
      </c>
      <c r="D652" s="19">
        <v>2.63749106962E11</v>
      </c>
      <c r="E652" s="18">
        <v>3.5308469733512E11</v>
      </c>
      <c r="F652" s="14">
        <v>0.21</v>
      </c>
      <c r="G652" s="14">
        <v>1.0</v>
      </c>
      <c r="H652" s="18">
        <v>7.414778644023E10</v>
      </c>
      <c r="I652" s="14">
        <v>1.54</v>
      </c>
    </row>
    <row r="653">
      <c r="A653" s="14">
        <v>2011.0</v>
      </c>
      <c r="B653" s="14" t="s">
        <v>43</v>
      </c>
      <c r="C653" s="14">
        <v>171.31</v>
      </c>
      <c r="D653" s="19">
        <v>4.244850251E9</v>
      </c>
      <c r="E653" s="18">
        <v>4.055509494899E12</v>
      </c>
      <c r="F653" s="14">
        <v>0.46</v>
      </c>
      <c r="G653" s="14">
        <v>0.3898</v>
      </c>
      <c r="H653" s="18">
        <v>7.2718529649881E11</v>
      </c>
      <c r="I653" s="14">
        <v>15.09</v>
      </c>
    </row>
    <row r="654">
      <c r="A654" s="14">
        <v>2011.0</v>
      </c>
      <c r="B654" s="14" t="s">
        <v>45</v>
      </c>
      <c r="C654" s="14">
        <v>4928.0</v>
      </c>
      <c r="D654" s="19">
        <v>4.5750659E7</v>
      </c>
      <c r="E654" s="18">
        <v>9.39413537216E11</v>
      </c>
      <c r="F654" s="14">
        <v>0.24</v>
      </c>
      <c r="G654" s="14">
        <v>1.0</v>
      </c>
      <c r="H654" s="18">
        <v>2.25459247552E11</v>
      </c>
      <c r="I654" s="14">
        <v>4.68</v>
      </c>
    </row>
    <row r="655">
      <c r="A655" s="14">
        <v>2011.0</v>
      </c>
      <c r="B655" s="14" t="s">
        <v>106</v>
      </c>
      <c r="C655" s="14">
        <v>0.9668</v>
      </c>
      <c r="D655" s="19">
        <v>8.7090810713E10</v>
      </c>
      <c r="E655" s="18">
        <v>2.8066465266002E11</v>
      </c>
      <c r="F655" s="14">
        <v>0.3</v>
      </c>
      <c r="G655" s="14">
        <v>1.0</v>
      </c>
      <c r="H655" s="18">
        <v>8.419939579733E10</v>
      </c>
      <c r="I655" s="14">
        <v>1.75</v>
      </c>
    </row>
    <row r="656">
      <c r="A656" s="14">
        <v>2011.0</v>
      </c>
      <c r="B656" s="14" t="s">
        <v>59</v>
      </c>
      <c r="C656" s="14">
        <v>0.0347</v>
      </c>
      <c r="D656" s="19">
        <v>1.26308E12</v>
      </c>
      <c r="E656" s="18">
        <v>3.37018892E11</v>
      </c>
      <c r="F656" s="14">
        <v>0.13</v>
      </c>
      <c r="G656" s="14">
        <v>1.0</v>
      </c>
      <c r="H656" s="18">
        <v>4.381245596E10</v>
      </c>
      <c r="I656" s="14">
        <v>0.91</v>
      </c>
    </row>
    <row r="657">
      <c r="A657" s="14">
        <v>2011.0</v>
      </c>
      <c r="B657" s="14" t="s">
        <v>78</v>
      </c>
      <c r="C657" s="14">
        <v>1701.1</v>
      </c>
      <c r="D657" s="19">
        <v>4.39490286E8</v>
      </c>
      <c r="E657" s="18">
        <v>1.4468931530805E12</v>
      </c>
      <c r="F657" s="14">
        <v>0.57</v>
      </c>
      <c r="G657" s="14">
        <v>0.9065</v>
      </c>
      <c r="H657" s="18">
        <v>7.476169255146E11</v>
      </c>
      <c r="I657" s="14">
        <v>15.51</v>
      </c>
    </row>
    <row r="658">
      <c r="A658" s="14">
        <v>2011.0</v>
      </c>
      <c r="B658" s="14" t="s">
        <v>69</v>
      </c>
      <c r="C658" s="14">
        <v>12.36</v>
      </c>
      <c r="D658" s="19">
        <v>5.587165E8</v>
      </c>
      <c r="E658" s="18">
        <v>1.381147188E11</v>
      </c>
      <c r="F658" s="14">
        <v>0.05</v>
      </c>
      <c r="G658" s="14">
        <v>1.0</v>
      </c>
      <c r="H658" s="18">
        <v>6.90573594E9</v>
      </c>
      <c r="I658" s="14">
        <v>0.14</v>
      </c>
    </row>
    <row r="659">
      <c r="A659" s="14">
        <v>2011.0</v>
      </c>
      <c r="B659" s="14" t="s">
        <v>147</v>
      </c>
      <c r="C659" s="14">
        <v>2825.1</v>
      </c>
      <c r="D659" s="19">
        <v>2.1354017E7</v>
      </c>
      <c r="E659" s="18">
        <v>2.513634787323E11</v>
      </c>
      <c r="F659" s="14">
        <v>0.24</v>
      </c>
      <c r="G659" s="14">
        <v>1.0</v>
      </c>
      <c r="H659" s="18">
        <v>6.03272334267E10</v>
      </c>
      <c r="I659" s="14">
        <v>1.25</v>
      </c>
    </row>
    <row r="660">
      <c r="A660" s="14">
        <v>2011.0</v>
      </c>
      <c r="B660" s="14" t="s">
        <v>192</v>
      </c>
      <c r="C660" s="14">
        <v>2.302</v>
      </c>
      <c r="D660" s="19">
        <v>1.2889220124E10</v>
      </c>
      <c r="E660" s="18">
        <v>9.890328242046E10</v>
      </c>
      <c r="F660" s="14">
        <v>0.3</v>
      </c>
      <c r="G660" s="14">
        <v>1.0</v>
      </c>
      <c r="H660" s="18">
        <v>2.967098472545E10</v>
      </c>
      <c r="I660" s="14">
        <v>0.62</v>
      </c>
    </row>
    <row r="661">
      <c r="A661" s="14">
        <v>2011.0</v>
      </c>
      <c r="B661" s="14" t="s">
        <v>126</v>
      </c>
      <c r="C661" s="14">
        <v>1.7009</v>
      </c>
      <c r="D661" s="19">
        <v>5.962403955E9</v>
      </c>
      <c r="E661" s="18">
        <v>6.760968591373E10</v>
      </c>
      <c r="F661" s="14">
        <v>0.15</v>
      </c>
      <c r="G661" s="14">
        <v>1.0</v>
      </c>
      <c r="H661" s="18">
        <v>1.014145288706E10</v>
      </c>
      <c r="I661" s="14">
        <v>0.21</v>
      </c>
    </row>
    <row r="662">
      <c r="A662" s="14">
        <v>2011.0</v>
      </c>
      <c r="B662" s="14" t="s">
        <v>71</v>
      </c>
      <c r="C662" s="14">
        <v>271.9</v>
      </c>
      <c r="D662" s="19">
        <v>7.4928734E7</v>
      </c>
      <c r="E662" s="18">
        <v>1.131840155655E11</v>
      </c>
      <c r="F662" s="14">
        <v>0.18</v>
      </c>
      <c r="G662" s="14">
        <v>1.0</v>
      </c>
      <c r="H662" s="18">
        <v>2.037312277416E10</v>
      </c>
      <c r="I662" s="14">
        <v>0.42</v>
      </c>
    </row>
    <row r="663">
      <c r="A663" s="14">
        <v>2011.0</v>
      </c>
      <c r="B663" s="14" t="s">
        <v>74</v>
      </c>
      <c r="C663" s="14">
        <v>183.29</v>
      </c>
      <c r="D663" s="19">
        <v>2.47969627E8</v>
      </c>
      <c r="E663" s="18">
        <v>3.7875294177898E11</v>
      </c>
      <c r="F663" s="14">
        <v>0.12</v>
      </c>
      <c r="G663" s="14">
        <v>1.0</v>
      </c>
      <c r="H663" s="18">
        <v>4.545035293283E10</v>
      </c>
      <c r="I663" s="14">
        <v>0.94</v>
      </c>
    </row>
    <row r="664">
      <c r="A664" s="14">
        <v>2011.0</v>
      </c>
      <c r="B664" s="14" t="s">
        <v>82</v>
      </c>
      <c r="C664" s="14">
        <v>62.8</v>
      </c>
      <c r="D664" s="19">
        <v>8.39051813E8</v>
      </c>
      <c r="E664" s="18">
        <v>3.76374670672E11</v>
      </c>
      <c r="F664" s="14">
        <v>0.14</v>
      </c>
      <c r="G664" s="14">
        <v>1.0</v>
      </c>
      <c r="H664" s="18">
        <v>5.26924538564E10</v>
      </c>
      <c r="I664" s="14">
        <v>1.09</v>
      </c>
    </row>
    <row r="665">
      <c r="A665" s="14">
        <v>2011.0</v>
      </c>
      <c r="B665" s="14" t="s">
        <v>130</v>
      </c>
      <c r="C665" s="14">
        <v>393.84</v>
      </c>
      <c r="D665" s="19">
        <v>8.80528739E8</v>
      </c>
      <c r="E665" s="18">
        <v>1.19581875504E12</v>
      </c>
      <c r="F665" s="14">
        <v>0.29</v>
      </c>
      <c r="G665" s="14">
        <v>1.0</v>
      </c>
      <c r="H665" s="18">
        <v>3.4678743856776E11</v>
      </c>
      <c r="I665" s="14">
        <v>7.2</v>
      </c>
    </row>
    <row r="666">
      <c r="A666" s="14">
        <v>2011.0</v>
      </c>
      <c r="B666" s="14" t="s">
        <v>195</v>
      </c>
      <c r="C666" s="14">
        <v>0.8602</v>
      </c>
      <c r="D666" s="19">
        <v>8.547839865E9</v>
      </c>
      <c r="E666" s="18">
        <v>4.084917695657E10</v>
      </c>
      <c r="F666" s="14">
        <v>0.18</v>
      </c>
      <c r="G666" s="14">
        <v>1.0</v>
      </c>
      <c r="H666" s="18">
        <v>7.35285185187E9</v>
      </c>
      <c r="I666" s="14">
        <v>0.15</v>
      </c>
    </row>
    <row r="667">
      <c r="A667" s="14">
        <v>2011.0</v>
      </c>
      <c r="B667" s="14" t="s">
        <v>146</v>
      </c>
      <c r="C667" s="14">
        <v>99.06</v>
      </c>
      <c r="D667" s="19">
        <v>1.56159961E8</v>
      </c>
      <c r="E667" s="18">
        <v>7.734602898048E10</v>
      </c>
      <c r="F667" s="14">
        <v>0.2</v>
      </c>
      <c r="G667" s="14">
        <v>1.0</v>
      </c>
      <c r="H667" s="18">
        <v>1.546920573666E10</v>
      </c>
      <c r="I667" s="14">
        <v>0.32</v>
      </c>
    </row>
    <row r="668">
      <c r="A668" s="14">
        <v>2011.0</v>
      </c>
      <c r="B668" s="14" t="s">
        <v>132</v>
      </c>
      <c r="C668" s="14">
        <v>213.83</v>
      </c>
      <c r="D668" s="19">
        <v>1.589726672E9</v>
      </c>
      <c r="E668" s="18">
        <v>2.26620836260911E12</v>
      </c>
      <c r="F668" s="14">
        <v>0.15</v>
      </c>
      <c r="G668" s="14">
        <v>1.0</v>
      </c>
      <c r="H668" s="18">
        <v>3.3993125427376E11</v>
      </c>
      <c r="I668" s="14">
        <v>7.05</v>
      </c>
    </row>
    <row r="669">
      <c r="A669" s="14">
        <v>2011.0</v>
      </c>
      <c r="B669" s="14" t="s">
        <v>90</v>
      </c>
      <c r="C669" s="14">
        <v>152.03</v>
      </c>
      <c r="D669" s="19">
        <v>1.265601055E9</v>
      </c>
      <c r="E669" s="18">
        <v>4.4746355463607E11</v>
      </c>
      <c r="F669" s="14">
        <v>0.43</v>
      </c>
      <c r="G669" s="14">
        <v>1.0</v>
      </c>
      <c r="H669" s="18">
        <v>1.9240932839165E11</v>
      </c>
      <c r="I669" s="14">
        <v>3.99</v>
      </c>
    </row>
    <row r="670">
      <c r="A670" s="14">
        <v>2011.0</v>
      </c>
      <c r="B670" s="14" t="s">
        <v>193</v>
      </c>
      <c r="C670" s="14">
        <v>196.01</v>
      </c>
      <c r="D670" s="19">
        <v>1.41968E8</v>
      </c>
      <c r="E670" s="18">
        <v>3.9202E11</v>
      </c>
      <c r="F670" s="14">
        <v>0.08</v>
      </c>
      <c r="G670" s="14">
        <v>0.8873</v>
      </c>
      <c r="H670" s="18">
        <v>2.782714768E10</v>
      </c>
      <c r="I670" s="14">
        <v>0.58</v>
      </c>
    </row>
    <row r="671">
      <c r="A671" s="14">
        <v>2011.0</v>
      </c>
      <c r="B671" s="14" t="s">
        <v>93</v>
      </c>
      <c r="C671" s="14">
        <v>79.39</v>
      </c>
      <c r="D671" s="19">
        <v>7.661639584E9</v>
      </c>
      <c r="E671" s="18">
        <v>1.71378780172E12</v>
      </c>
      <c r="F671" s="14">
        <v>0.4</v>
      </c>
      <c r="G671" s="14">
        <v>0.8873</v>
      </c>
      <c r="H671" s="18">
        <v>6.0825756657376E11</v>
      </c>
      <c r="I671" s="14">
        <v>12.62</v>
      </c>
    </row>
    <row r="672">
      <c r="A672" s="14">
        <v>2011.0</v>
      </c>
      <c r="B672" s="14" t="s">
        <v>94</v>
      </c>
      <c r="C672" s="14">
        <v>59.16</v>
      </c>
      <c r="D672" s="19">
        <v>8.873E8</v>
      </c>
      <c r="E672" s="18">
        <v>5.916E10</v>
      </c>
      <c r="F672" s="14">
        <v>1.0</v>
      </c>
      <c r="G672" s="14">
        <v>0.8873</v>
      </c>
      <c r="H672" s="18">
        <v>5.2492668E10</v>
      </c>
      <c r="I672" s="14">
        <v>1.09</v>
      </c>
    </row>
    <row r="673">
      <c r="A673" s="14">
        <v>2011.0</v>
      </c>
      <c r="B673" s="14" t="s">
        <v>143</v>
      </c>
      <c r="C673" s="14">
        <v>147.14</v>
      </c>
      <c r="D673" s="19">
        <v>2.37064981E8</v>
      </c>
      <c r="E673" s="18">
        <v>6.9763482888246E11</v>
      </c>
      <c r="F673" s="14">
        <v>0.05</v>
      </c>
      <c r="G673" s="14">
        <v>1.0</v>
      </c>
      <c r="H673" s="18">
        <v>3.488174130434E10</v>
      </c>
      <c r="I673" s="14">
        <v>0.72</v>
      </c>
    </row>
    <row r="674">
      <c r="A674" s="14">
        <v>2011.0</v>
      </c>
      <c r="B674" s="14" t="s">
        <v>141</v>
      </c>
      <c r="C674" s="14">
        <v>25.278</v>
      </c>
      <c r="D674" s="19">
        <v>8.931498676E9</v>
      </c>
      <c r="E674" s="18">
        <v>9.0308169415299E11</v>
      </c>
      <c r="F674" s="14">
        <v>0.25</v>
      </c>
      <c r="G674" s="14">
        <v>1.0</v>
      </c>
      <c r="H674" s="18">
        <v>2.2577042353193E11</v>
      </c>
      <c r="I674" s="14">
        <v>4.68</v>
      </c>
    </row>
    <row r="675">
      <c r="A675" s="14">
        <v>2011.0</v>
      </c>
      <c r="B675" s="14" t="s">
        <v>142</v>
      </c>
      <c r="C675" s="14">
        <v>16.464</v>
      </c>
      <c r="D675" s="19">
        <v>5.622458711E9</v>
      </c>
      <c r="E675" s="18">
        <v>1.2680569894104E11</v>
      </c>
      <c r="F675" s="14">
        <v>0.73</v>
      </c>
      <c r="G675" s="14">
        <v>1.0</v>
      </c>
      <c r="H675" s="18">
        <v>9.25681602179E10</v>
      </c>
      <c r="I675" s="14">
        <v>1.92</v>
      </c>
    </row>
    <row r="676">
      <c r="A676" s="14">
        <v>2011.0</v>
      </c>
      <c r="B676" s="14" t="s">
        <v>136</v>
      </c>
      <c r="C676" s="14">
        <v>158.4</v>
      </c>
      <c r="D676" s="19">
        <v>6.97181024E8</v>
      </c>
      <c r="E676" s="18">
        <v>3.4510460688E11</v>
      </c>
      <c r="F676" s="14">
        <v>0.32</v>
      </c>
      <c r="G676" s="14">
        <v>1.0</v>
      </c>
      <c r="H676" s="18">
        <v>1.104334742016E11</v>
      </c>
      <c r="I676" s="14">
        <v>2.29</v>
      </c>
    </row>
    <row r="677">
      <c r="A677" s="14">
        <v>2011.0</v>
      </c>
      <c r="B677" s="14" t="s">
        <v>104</v>
      </c>
      <c r="C677" s="14">
        <v>49590.0</v>
      </c>
      <c r="D677" s="19">
        <v>1554875.0</v>
      </c>
      <c r="E677" s="18">
        <v>7.710625125E10</v>
      </c>
      <c r="F677" s="14">
        <v>1.0</v>
      </c>
      <c r="G677" s="14">
        <v>1.0</v>
      </c>
      <c r="H677" s="18">
        <v>7.710625125E10</v>
      </c>
      <c r="I677" s="14">
        <v>1.6</v>
      </c>
    </row>
    <row r="678">
      <c r="A678" s="14">
        <v>2011.0</v>
      </c>
      <c r="B678" s="14" t="s">
        <v>160</v>
      </c>
      <c r="C678" s="14">
        <v>231.54</v>
      </c>
      <c r="D678" s="19">
        <v>1.392587057E9</v>
      </c>
      <c r="E678" s="18">
        <v>7.165324605237E11</v>
      </c>
      <c r="F678" s="14">
        <v>0.45</v>
      </c>
      <c r="G678" s="14">
        <v>1.0</v>
      </c>
      <c r="H678" s="18">
        <v>3.2243960717778E11</v>
      </c>
      <c r="I678" s="14">
        <v>6.69</v>
      </c>
    </row>
    <row r="679">
      <c r="A679" s="14">
        <v>2011.0</v>
      </c>
      <c r="B679" s="14" t="s">
        <v>9</v>
      </c>
      <c r="C679" s="14">
        <v>0.0587</v>
      </c>
      <c r="D679" s="19">
        <v>2.615135334334E12</v>
      </c>
      <c r="E679" s="18">
        <v>6.1413838191511E11</v>
      </c>
      <c r="F679" s="14">
        <v>0.25</v>
      </c>
      <c r="G679" s="14">
        <v>1.0</v>
      </c>
      <c r="H679" s="18">
        <v>1.5353459547875E11</v>
      </c>
      <c r="I679" s="14">
        <v>3.19</v>
      </c>
    </row>
    <row r="680">
      <c r="A680" s="14">
        <v>2010.0</v>
      </c>
      <c r="B680" s="14" t="s">
        <v>39</v>
      </c>
      <c r="C680" s="14">
        <v>79.9</v>
      </c>
      <c r="D680" s="19">
        <v>2.55441748E8</v>
      </c>
      <c r="E680" s="18">
        <v>8.87382422901E10</v>
      </c>
      <c r="F680" s="14">
        <v>0.23</v>
      </c>
      <c r="G680" s="14">
        <v>1.0</v>
      </c>
      <c r="H680" s="18">
        <v>2.04097956652E10</v>
      </c>
      <c r="I680" s="14">
        <v>0.31</v>
      </c>
    </row>
    <row r="681">
      <c r="A681" s="14">
        <v>2010.0</v>
      </c>
      <c r="B681" s="14" t="s">
        <v>96</v>
      </c>
      <c r="C681" s="14">
        <v>519.74</v>
      </c>
      <c r="D681" s="19">
        <v>4.03080542E8</v>
      </c>
      <c r="E681" s="18">
        <v>5.237427022477E11</v>
      </c>
      <c r="F681" s="14">
        <v>0.4</v>
      </c>
      <c r="G681" s="14">
        <v>1.0</v>
      </c>
      <c r="H681" s="18">
        <v>2.0949708089908E11</v>
      </c>
      <c r="I681" s="14">
        <v>3.15</v>
      </c>
    </row>
    <row r="682">
      <c r="A682" s="14">
        <v>2010.0</v>
      </c>
      <c r="B682" s="14" t="s">
        <v>108</v>
      </c>
      <c r="C682" s="14">
        <v>0.369</v>
      </c>
      <c r="D682" s="19">
        <v>2.71383493381E11</v>
      </c>
      <c r="E682" s="18">
        <v>4.5518413208069E11</v>
      </c>
      <c r="F682" s="14">
        <v>0.22</v>
      </c>
      <c r="G682" s="14">
        <v>1.0</v>
      </c>
      <c r="H682" s="18">
        <v>1.0014050905759E11</v>
      </c>
      <c r="I682" s="14">
        <v>1.51</v>
      </c>
    </row>
    <row r="683">
      <c r="A683" s="14">
        <v>2010.0</v>
      </c>
      <c r="B683" s="14" t="s">
        <v>43</v>
      </c>
      <c r="C683" s="14">
        <v>193.9</v>
      </c>
      <c r="D683" s="19">
        <v>5.455797782E9</v>
      </c>
      <c r="E683" s="18">
        <v>4.59029415131E12</v>
      </c>
      <c r="F683" s="14">
        <v>0.46</v>
      </c>
      <c r="G683" s="14">
        <v>0.501</v>
      </c>
      <c r="H683" s="18">
        <v>1.0578791899298E12</v>
      </c>
      <c r="I683" s="14">
        <v>15.91</v>
      </c>
    </row>
    <row r="684">
      <c r="A684" s="14">
        <v>2010.0</v>
      </c>
      <c r="B684" s="14" t="s">
        <v>45</v>
      </c>
      <c r="C684" s="14">
        <v>7197.0</v>
      </c>
      <c r="D684" s="19">
        <v>9.1501318E7</v>
      </c>
      <c r="E684" s="18">
        <v>1.371947895159E12</v>
      </c>
      <c r="F684" s="14">
        <v>0.48</v>
      </c>
      <c r="G684" s="14">
        <v>1.0</v>
      </c>
      <c r="H684" s="18">
        <v>6.58534985646E11</v>
      </c>
      <c r="I684" s="14">
        <v>9.9</v>
      </c>
    </row>
    <row r="685">
      <c r="A685" s="14">
        <v>2010.0</v>
      </c>
      <c r="B685" s="14" t="s">
        <v>106</v>
      </c>
      <c r="C685" s="14">
        <v>1.649</v>
      </c>
      <c r="D685" s="19">
        <v>1.02484263704E11</v>
      </c>
      <c r="E685" s="18">
        <v>4.447277653925E11</v>
      </c>
      <c r="F685" s="14">
        <v>0.38</v>
      </c>
      <c r="G685" s="14">
        <v>1.0</v>
      </c>
      <c r="H685" s="18">
        <v>1.689965508479E11</v>
      </c>
      <c r="I685" s="14">
        <v>2.54</v>
      </c>
    </row>
    <row r="686">
      <c r="A686" s="14">
        <v>2010.0</v>
      </c>
      <c r="B686" s="14" t="s">
        <v>59</v>
      </c>
      <c r="C686" s="14">
        <v>0.0481</v>
      </c>
      <c r="D686" s="19">
        <v>8.10047663664E11</v>
      </c>
      <c r="E686" s="18">
        <v>1.3915461650801E11</v>
      </c>
      <c r="F686" s="14">
        <v>0.28</v>
      </c>
      <c r="G686" s="14">
        <v>1.0</v>
      </c>
      <c r="H686" s="18">
        <v>3.896329262224E10</v>
      </c>
      <c r="I686" s="14">
        <v>0.59</v>
      </c>
    </row>
    <row r="687">
      <c r="A687" s="14">
        <v>2010.0</v>
      </c>
      <c r="B687" s="14" t="s">
        <v>78</v>
      </c>
      <c r="C687" s="14">
        <v>1741.99</v>
      </c>
      <c r="D687" s="19">
        <v>5.10784498E8</v>
      </c>
      <c r="E687" s="18">
        <v>1.48167268457745E12</v>
      </c>
      <c r="F687" s="14">
        <v>0.85</v>
      </c>
      <c r="G687" s="14">
        <v>0.7065</v>
      </c>
      <c r="H687" s="18">
        <v>8.8978148767102E11</v>
      </c>
      <c r="I687" s="14">
        <v>13.38</v>
      </c>
    </row>
    <row r="688">
      <c r="A688" s="14">
        <v>2010.0</v>
      </c>
      <c r="B688" s="14" t="s">
        <v>69</v>
      </c>
      <c r="C688" s="14">
        <v>32.907</v>
      </c>
      <c r="D688" s="19">
        <v>1.3409196E9</v>
      </c>
      <c r="E688" s="18">
        <v>3.6771367731E11</v>
      </c>
      <c r="F688" s="14">
        <v>0.12</v>
      </c>
      <c r="G688" s="14">
        <v>1.0</v>
      </c>
      <c r="H688" s="18">
        <v>4.41256412772E10</v>
      </c>
      <c r="I688" s="14">
        <v>0.66</v>
      </c>
    </row>
    <row r="689">
      <c r="A689" s="14">
        <v>2010.0</v>
      </c>
      <c r="B689" s="14" t="s">
        <v>192</v>
      </c>
      <c r="C689" s="14">
        <v>5.37</v>
      </c>
      <c r="D689" s="19">
        <v>1.3954196354E10</v>
      </c>
      <c r="E689" s="18">
        <v>2.2039421889408E11</v>
      </c>
      <c r="F689" s="14">
        <v>0.34</v>
      </c>
      <c r="G689" s="14">
        <v>1.0</v>
      </c>
      <c r="H689" s="18">
        <v>7.493403442098E10</v>
      </c>
      <c r="I689" s="14">
        <v>1.13</v>
      </c>
    </row>
    <row r="690">
      <c r="A690" s="14">
        <v>2010.0</v>
      </c>
      <c r="B690" s="14" t="s">
        <v>126</v>
      </c>
      <c r="C690" s="14">
        <v>3.221</v>
      </c>
      <c r="D690" s="19">
        <v>7.94987194E9</v>
      </c>
      <c r="E690" s="18">
        <v>1.280326875937E11</v>
      </c>
      <c r="F690" s="14">
        <v>0.2</v>
      </c>
      <c r="G690" s="14">
        <v>1.0</v>
      </c>
      <c r="H690" s="18">
        <v>2.560653751874E10</v>
      </c>
      <c r="I690" s="14">
        <v>0.39</v>
      </c>
    </row>
    <row r="691">
      <c r="A691" s="14">
        <v>2010.0</v>
      </c>
      <c r="B691" s="14" t="s">
        <v>144</v>
      </c>
      <c r="C691" s="14">
        <v>259.77</v>
      </c>
      <c r="D691" s="19">
        <v>9.96663069E8</v>
      </c>
      <c r="E691" s="18">
        <v>5.1780633086826E11</v>
      </c>
      <c r="F691" s="14">
        <v>0.5</v>
      </c>
      <c r="G691" s="14">
        <v>1.0</v>
      </c>
      <c r="H691" s="18">
        <v>2.5890316543413E11</v>
      </c>
      <c r="I691" s="14">
        <v>3.89</v>
      </c>
    </row>
    <row r="692">
      <c r="A692" s="14">
        <v>2010.0</v>
      </c>
      <c r="B692" s="14" t="s">
        <v>82</v>
      </c>
      <c r="C692" s="14">
        <v>144.87</v>
      </c>
      <c r="D692" s="19">
        <v>8.98984086E8</v>
      </c>
      <c r="E692" s="18">
        <v>8.682388302588E11</v>
      </c>
      <c r="F692" s="14">
        <v>0.15</v>
      </c>
      <c r="G692" s="14">
        <v>1.0</v>
      </c>
      <c r="H692" s="18">
        <v>1.3023582453882E11</v>
      </c>
      <c r="I692" s="14">
        <v>1.96</v>
      </c>
    </row>
    <row r="693">
      <c r="A693" s="14">
        <v>2010.0</v>
      </c>
      <c r="B693" s="14" t="s">
        <v>145</v>
      </c>
      <c r="C693" s="14">
        <v>333.64</v>
      </c>
      <c r="D693" s="19">
        <v>1.09307016E9</v>
      </c>
      <c r="E693" s="18">
        <v>1.01303313384E12</v>
      </c>
      <c r="F693" s="14">
        <v>0.36</v>
      </c>
      <c r="G693" s="14">
        <v>1.0</v>
      </c>
      <c r="H693" s="18">
        <v>3.646919281824E11</v>
      </c>
      <c r="I693" s="14">
        <v>5.48</v>
      </c>
    </row>
    <row r="694">
      <c r="A694" s="14">
        <v>2010.0</v>
      </c>
      <c r="B694" s="14" t="s">
        <v>195</v>
      </c>
      <c r="C694" s="14">
        <v>1.739</v>
      </c>
      <c r="D694" s="19">
        <v>1.1871999813E10</v>
      </c>
      <c r="E694" s="18">
        <v>8.258163069923E10</v>
      </c>
      <c r="F694" s="14">
        <v>0.25</v>
      </c>
      <c r="G694" s="14">
        <v>1.0</v>
      </c>
      <c r="H694" s="18">
        <v>2.064540767481E10</v>
      </c>
      <c r="I694" s="14">
        <v>0.31</v>
      </c>
    </row>
    <row r="695">
      <c r="A695" s="14">
        <v>2010.0</v>
      </c>
      <c r="B695" s="14" t="s">
        <v>88</v>
      </c>
      <c r="C695" s="14">
        <v>1928.29</v>
      </c>
      <c r="D695" s="19">
        <v>9.5313873E7</v>
      </c>
      <c r="E695" s="18">
        <v>3.6758557826263E11</v>
      </c>
      <c r="F695" s="14">
        <v>0.5</v>
      </c>
      <c r="G695" s="14">
        <v>1.0</v>
      </c>
      <c r="H695" s="18">
        <v>1.8379278816717E11</v>
      </c>
      <c r="I695" s="14">
        <v>2.76</v>
      </c>
    </row>
    <row r="696">
      <c r="A696" s="14">
        <v>2010.0</v>
      </c>
      <c r="B696" s="14" t="s">
        <v>196</v>
      </c>
      <c r="C696" s="14">
        <v>574.16</v>
      </c>
      <c r="D696" s="19">
        <v>1.837125E8</v>
      </c>
      <c r="E696" s="18">
        <v>2.2930515E11</v>
      </c>
      <c r="F696" s="14">
        <v>0.46</v>
      </c>
      <c r="G696" s="14">
        <v>1.0</v>
      </c>
      <c r="H696" s="18">
        <v>1.05480369E11</v>
      </c>
      <c r="I696" s="14">
        <v>1.59</v>
      </c>
    </row>
    <row r="697">
      <c r="A697" s="14">
        <v>2010.0</v>
      </c>
      <c r="B697" s="14" t="s">
        <v>146</v>
      </c>
      <c r="C697" s="14">
        <v>214.69</v>
      </c>
      <c r="D697" s="19">
        <v>1.56159961E8</v>
      </c>
      <c r="E697" s="18">
        <v>1.6762991077952E11</v>
      </c>
      <c r="F697" s="14">
        <v>0.2</v>
      </c>
      <c r="G697" s="14">
        <v>1.0</v>
      </c>
      <c r="H697" s="18">
        <v>3.352598202709E10</v>
      </c>
      <c r="I697" s="14">
        <v>0.5</v>
      </c>
    </row>
    <row r="698">
      <c r="A698" s="14">
        <v>2010.0</v>
      </c>
      <c r="B698" s="14" t="s">
        <v>132</v>
      </c>
      <c r="C698" s="14">
        <v>219.29</v>
      </c>
      <c r="D698" s="19">
        <v>1.589726672E9</v>
      </c>
      <c r="E698" s="18">
        <v>2.32407441348993E12</v>
      </c>
      <c r="F698" s="14">
        <v>0.15</v>
      </c>
      <c r="G698" s="14">
        <v>1.0</v>
      </c>
      <c r="H698" s="18">
        <v>3.4861116190288E11</v>
      </c>
      <c r="I698" s="14">
        <v>5.24</v>
      </c>
    </row>
    <row r="699">
      <c r="A699" s="14">
        <v>2010.0</v>
      </c>
      <c r="B699" s="14" t="s">
        <v>90</v>
      </c>
      <c r="C699" s="14">
        <v>156.41</v>
      </c>
      <c r="D699" s="19">
        <v>1.384523E8</v>
      </c>
      <c r="E699" s="18">
        <v>1.139753914112E11</v>
      </c>
      <c r="F699" s="14">
        <v>0.19</v>
      </c>
      <c r="G699" s="14">
        <v>1.0</v>
      </c>
      <c r="H699" s="18">
        <v>2.1655324243E10</v>
      </c>
      <c r="I699" s="14">
        <v>0.33</v>
      </c>
    </row>
    <row r="700">
      <c r="A700" s="14">
        <v>2010.0</v>
      </c>
      <c r="B700" s="14" t="s">
        <v>93</v>
      </c>
      <c r="C700" s="14">
        <v>104.67</v>
      </c>
      <c r="D700" s="19">
        <v>8.248847743E9</v>
      </c>
      <c r="E700" s="18">
        <v>2.25950584716E12</v>
      </c>
      <c r="F700" s="14">
        <v>0.39</v>
      </c>
      <c r="G700" s="14">
        <v>0.9798</v>
      </c>
      <c r="H700" s="18">
        <v>8.6340689325981E11</v>
      </c>
      <c r="I700" s="14">
        <v>12.98</v>
      </c>
    </row>
    <row r="701">
      <c r="A701" s="14">
        <v>2010.0</v>
      </c>
      <c r="B701" s="14" t="s">
        <v>94</v>
      </c>
      <c r="C701" s="14">
        <v>75.06</v>
      </c>
      <c r="D701" s="19">
        <v>9.01416E8</v>
      </c>
      <c r="E701" s="18">
        <v>7.506E10</v>
      </c>
      <c r="F701" s="14">
        <v>0.92</v>
      </c>
      <c r="G701" s="14">
        <v>0.9798</v>
      </c>
      <c r="H701" s="18">
        <v>6.766028496E10</v>
      </c>
      <c r="I701" s="14">
        <v>1.02</v>
      </c>
    </row>
    <row r="702">
      <c r="A702" s="14">
        <v>2010.0</v>
      </c>
      <c r="B702" s="14" t="s">
        <v>143</v>
      </c>
      <c r="C702" s="14">
        <v>128.44</v>
      </c>
      <c r="D702" s="19">
        <v>2.37064981E8</v>
      </c>
      <c r="E702" s="18">
        <v>6.0897252563316E11</v>
      </c>
      <c r="F702" s="14">
        <v>0.05</v>
      </c>
      <c r="G702" s="14">
        <v>1.0</v>
      </c>
      <c r="H702" s="18">
        <v>3.044862615964E10</v>
      </c>
      <c r="I702" s="14">
        <v>0.46</v>
      </c>
    </row>
    <row r="703">
      <c r="A703" s="14">
        <v>2010.0</v>
      </c>
      <c r="B703" s="14" t="s">
        <v>141</v>
      </c>
      <c r="C703" s="14">
        <v>32.48</v>
      </c>
      <c r="D703" s="19">
        <v>7.502458888E9</v>
      </c>
      <c r="E703" s="18">
        <v>1.1603803080184E12</v>
      </c>
      <c r="F703" s="14">
        <v>0.21</v>
      </c>
      <c r="G703" s="14">
        <v>1.0</v>
      </c>
      <c r="H703" s="18">
        <v>2.4367986468224E11</v>
      </c>
      <c r="I703" s="14">
        <v>3.66</v>
      </c>
    </row>
    <row r="704">
      <c r="A704" s="14">
        <v>2010.0</v>
      </c>
      <c r="B704" s="14" t="s">
        <v>142</v>
      </c>
      <c r="C704" s="14">
        <v>15.705</v>
      </c>
      <c r="D704" s="19">
        <v>5.391398764E9</v>
      </c>
      <c r="E704" s="18">
        <v>1.2095988228067E11</v>
      </c>
      <c r="F704" s="14">
        <v>0.7</v>
      </c>
      <c r="G704" s="14">
        <v>1.0</v>
      </c>
      <c r="H704" s="18">
        <v>8.467191758862E10</v>
      </c>
      <c r="I704" s="14">
        <v>1.27</v>
      </c>
    </row>
    <row r="705">
      <c r="A705" s="14">
        <v>2010.0</v>
      </c>
      <c r="B705" s="14" t="s">
        <v>136</v>
      </c>
      <c r="C705" s="14">
        <v>148.69</v>
      </c>
      <c r="D705" s="19">
        <v>1.459722769E9</v>
      </c>
      <c r="E705" s="18">
        <v>3.23949520183E11</v>
      </c>
      <c r="F705" s="14">
        <v>0.67</v>
      </c>
      <c r="G705" s="14">
        <v>1.0</v>
      </c>
      <c r="H705" s="18">
        <v>2.1704617852261E11</v>
      </c>
      <c r="I705" s="14">
        <v>3.26</v>
      </c>
    </row>
    <row r="706">
      <c r="A706" s="14">
        <v>2010.0</v>
      </c>
      <c r="B706" s="14" t="s">
        <v>104</v>
      </c>
      <c r="C706" s="14">
        <v>37738.79</v>
      </c>
      <c r="D706" s="19">
        <v>1523777.0</v>
      </c>
      <c r="E706" s="18">
        <v>5.867910110125E10</v>
      </c>
      <c r="F706" s="14">
        <v>0.98</v>
      </c>
      <c r="G706" s="14">
        <v>1.0</v>
      </c>
      <c r="H706" s="18">
        <v>5.750510020983E10</v>
      </c>
      <c r="I706" s="14">
        <v>0.86</v>
      </c>
    </row>
    <row r="707">
      <c r="A707" s="14">
        <v>2010.0</v>
      </c>
      <c r="B707" s="14" t="s">
        <v>160</v>
      </c>
      <c r="C707" s="14">
        <v>219.9</v>
      </c>
      <c r="D707" s="19">
        <v>7.222926E8</v>
      </c>
      <c r="E707" s="18">
        <v>4.67153361E11</v>
      </c>
      <c r="F707" s="14">
        <v>0.34</v>
      </c>
      <c r="G707" s="14">
        <v>1.0</v>
      </c>
      <c r="H707" s="18">
        <v>1.5883214274E11</v>
      </c>
      <c r="I707" s="14">
        <v>2.39</v>
      </c>
    </row>
    <row r="708">
      <c r="A708" s="14">
        <v>2010.0</v>
      </c>
      <c r="B708" s="14" t="s">
        <v>197</v>
      </c>
      <c r="C708" s="14">
        <v>1.436</v>
      </c>
      <c r="D708" s="19">
        <v>1.5826403189E10</v>
      </c>
      <c r="E708" s="18">
        <v>4.638105098072E10</v>
      </c>
      <c r="F708" s="14">
        <v>0.49</v>
      </c>
      <c r="G708" s="14">
        <v>1.0</v>
      </c>
      <c r="H708" s="18">
        <v>2.27267149794E10</v>
      </c>
      <c r="I708" s="14">
        <v>0.34</v>
      </c>
    </row>
    <row r="709">
      <c r="A709" s="14">
        <v>2010.0</v>
      </c>
      <c r="B709" s="14" t="s">
        <v>9</v>
      </c>
      <c r="C709" s="14">
        <v>0.101</v>
      </c>
      <c r="D709" s="19">
        <v>1.464475787227E12</v>
      </c>
      <c r="E709" s="18">
        <v>1.05651467507114E12</v>
      </c>
      <c r="F709" s="14">
        <v>0.14</v>
      </c>
      <c r="G709" s="14">
        <v>1.0</v>
      </c>
      <c r="H709" s="18">
        <v>1.4791205450993E11</v>
      </c>
      <c r="I709" s="14">
        <v>2.22</v>
      </c>
    </row>
    <row r="710">
      <c r="A710" s="14">
        <v>2009.0</v>
      </c>
      <c r="B710" s="14" t="s">
        <v>39</v>
      </c>
      <c r="C710" s="14">
        <v>53.12</v>
      </c>
      <c r="D710" s="19">
        <v>2.66547911E8</v>
      </c>
      <c r="E710" s="18">
        <v>5.899593780288E10</v>
      </c>
      <c r="F710" s="14">
        <v>0.24</v>
      </c>
      <c r="G710" s="14">
        <v>1.0</v>
      </c>
      <c r="H710" s="18">
        <v>1.41590250323E10</v>
      </c>
      <c r="I710" s="14">
        <v>0.3</v>
      </c>
    </row>
    <row r="711">
      <c r="A711" s="14">
        <v>2009.0</v>
      </c>
      <c r="B711" s="14" t="s">
        <v>96</v>
      </c>
      <c r="C711" s="14">
        <v>253.01</v>
      </c>
      <c r="D711" s="19">
        <v>2.51925338E8</v>
      </c>
      <c r="E711" s="18">
        <v>2.5495851982855E11</v>
      </c>
      <c r="F711" s="14">
        <v>0.25</v>
      </c>
      <c r="G711" s="14">
        <v>1.0</v>
      </c>
      <c r="H711" s="18">
        <v>6.373962975738E10</v>
      </c>
      <c r="I711" s="14">
        <v>1.34</v>
      </c>
    </row>
    <row r="712">
      <c r="A712" s="14">
        <v>2009.0</v>
      </c>
      <c r="B712" s="14" t="s">
        <v>108</v>
      </c>
      <c r="C712" s="14">
        <v>0.32</v>
      </c>
      <c r="D712" s="19">
        <v>2.53773123199E11</v>
      </c>
      <c r="E712" s="18">
        <v>3.6912454283584E11</v>
      </c>
      <c r="F712" s="14">
        <v>0.22</v>
      </c>
      <c r="G712" s="14">
        <v>1.0</v>
      </c>
      <c r="H712" s="18">
        <v>8.120739942368E10</v>
      </c>
      <c r="I712" s="14">
        <v>1.71</v>
      </c>
    </row>
    <row r="713">
      <c r="A713" s="14">
        <v>2009.0</v>
      </c>
      <c r="B713" s="14" t="s">
        <v>43</v>
      </c>
      <c r="C713" s="14">
        <v>181.69</v>
      </c>
      <c r="D713" s="19">
        <v>3.689161882E9</v>
      </c>
      <c r="E713" s="18">
        <v>4.301240558801E12</v>
      </c>
      <c r="F713" s="14">
        <v>0.45</v>
      </c>
      <c r="G713" s="14">
        <v>0.3463</v>
      </c>
      <c r="H713" s="18">
        <v>6.7028382234058E11</v>
      </c>
      <c r="I713" s="14">
        <v>14.09</v>
      </c>
    </row>
    <row r="714">
      <c r="A714" s="14">
        <v>2009.0</v>
      </c>
      <c r="B714" s="14" t="s">
        <v>45</v>
      </c>
      <c r="C714" s="14">
        <v>4244.49</v>
      </c>
      <c r="D714" s="19">
        <v>8.7688763E7</v>
      </c>
      <c r="E714" s="18">
        <v>8.0911756586403E11</v>
      </c>
      <c r="F714" s="14">
        <v>0.46</v>
      </c>
      <c r="G714" s="14">
        <v>1.0</v>
      </c>
      <c r="H714" s="18">
        <v>3.7219407766587E11</v>
      </c>
      <c r="I714" s="14">
        <v>7.83</v>
      </c>
    </row>
    <row r="715">
      <c r="A715" s="14">
        <v>2009.0</v>
      </c>
      <c r="B715" s="14" t="s">
        <v>106</v>
      </c>
      <c r="C715" s="14">
        <v>1.142</v>
      </c>
      <c r="D715" s="19">
        <v>1.02484263704E11</v>
      </c>
      <c r="E715" s="18">
        <v>3.0799218197588E11</v>
      </c>
      <c r="F715" s="14">
        <v>0.38</v>
      </c>
      <c r="G715" s="14">
        <v>1.0</v>
      </c>
      <c r="H715" s="18">
        <v>1.1703702914997E11</v>
      </c>
      <c r="I715" s="14">
        <v>2.46</v>
      </c>
    </row>
    <row r="716">
      <c r="A716" s="14">
        <v>2009.0</v>
      </c>
      <c r="B716" s="14" t="s">
        <v>78</v>
      </c>
      <c r="C716" s="14">
        <v>1688.75</v>
      </c>
      <c r="D716" s="19">
        <v>3.758605E8</v>
      </c>
      <c r="E716" s="18">
        <v>1.43638869688125E12</v>
      </c>
      <c r="F716" s="14">
        <v>0.91</v>
      </c>
      <c r="G716" s="14">
        <v>0.4856</v>
      </c>
      <c r="H716" s="18">
        <v>6.34734419375E11</v>
      </c>
      <c r="I716" s="14">
        <v>13.35</v>
      </c>
    </row>
    <row r="717">
      <c r="A717" s="14">
        <v>2009.0</v>
      </c>
      <c r="B717" s="14" t="s">
        <v>69</v>
      </c>
      <c r="C717" s="14">
        <v>25.527</v>
      </c>
      <c r="D717" s="19">
        <v>1.3409196E9</v>
      </c>
      <c r="E717" s="18">
        <v>2.8524712191E11</v>
      </c>
      <c r="F717" s="14">
        <v>0.12</v>
      </c>
      <c r="G717" s="14">
        <v>1.0</v>
      </c>
      <c r="H717" s="18">
        <v>3.42296546292E10</v>
      </c>
      <c r="I717" s="14">
        <v>0.72</v>
      </c>
    </row>
    <row r="718">
      <c r="A718" s="14">
        <v>2009.0</v>
      </c>
      <c r="B718" s="14" t="s">
        <v>126</v>
      </c>
      <c r="C718" s="14">
        <v>3.311</v>
      </c>
      <c r="D718" s="19">
        <v>7.94987194E9</v>
      </c>
      <c r="E718" s="18">
        <v>1.316101299667E11</v>
      </c>
      <c r="F718" s="14">
        <v>0.2</v>
      </c>
      <c r="G718" s="14">
        <v>1.0</v>
      </c>
      <c r="H718" s="18">
        <v>2.632202599334E10</v>
      </c>
      <c r="I718" s="14">
        <v>0.55</v>
      </c>
    </row>
    <row r="719">
      <c r="A719" s="14">
        <v>2009.0</v>
      </c>
      <c r="B719" s="14" t="s">
        <v>144</v>
      </c>
      <c r="C719" s="14">
        <v>219.46</v>
      </c>
      <c r="D719" s="19">
        <v>1.116262637E9</v>
      </c>
      <c r="E719" s="18">
        <v>4.3745535424548E11</v>
      </c>
      <c r="F719" s="14">
        <v>0.56</v>
      </c>
      <c r="G719" s="14">
        <v>1.0</v>
      </c>
      <c r="H719" s="18">
        <v>2.4497499831602E11</v>
      </c>
      <c r="I719" s="14">
        <v>5.15</v>
      </c>
    </row>
    <row r="720">
      <c r="A720" s="14">
        <v>2009.0</v>
      </c>
      <c r="B720" s="14" t="s">
        <v>82</v>
      </c>
      <c r="C720" s="14">
        <v>91.05</v>
      </c>
      <c r="D720" s="19">
        <v>8.98984086E8</v>
      </c>
      <c r="E720" s="18">
        <v>5.45683340202E11</v>
      </c>
      <c r="F720" s="14">
        <v>0.15</v>
      </c>
      <c r="G720" s="14">
        <v>1.0</v>
      </c>
      <c r="H720" s="18">
        <v>8.18525010303E10</v>
      </c>
      <c r="I720" s="14">
        <v>1.72</v>
      </c>
    </row>
    <row r="721">
      <c r="A721" s="14">
        <v>2009.0</v>
      </c>
      <c r="B721" s="14" t="s">
        <v>145</v>
      </c>
      <c r="C721" s="14">
        <v>169.99</v>
      </c>
      <c r="D721" s="19">
        <v>1.18415934E9</v>
      </c>
      <c r="E721" s="18">
        <v>5.1614165694E11</v>
      </c>
      <c r="F721" s="14">
        <v>0.39</v>
      </c>
      <c r="G721" s="14">
        <v>1.0</v>
      </c>
      <c r="H721" s="18">
        <v>2.012952462066E11</v>
      </c>
      <c r="I721" s="14">
        <v>4.23</v>
      </c>
    </row>
    <row r="722">
      <c r="A722" s="14">
        <v>2009.0</v>
      </c>
      <c r="B722" s="14" t="s">
        <v>195</v>
      </c>
      <c r="C722" s="14">
        <v>1.461</v>
      </c>
      <c r="D722" s="19">
        <v>1.1871999813E10</v>
      </c>
      <c r="E722" s="18">
        <v>6.937996690717E10</v>
      </c>
      <c r="F722" s="14">
        <v>0.25</v>
      </c>
      <c r="G722" s="14">
        <v>1.0</v>
      </c>
      <c r="H722" s="18">
        <v>1.734499172679E10</v>
      </c>
      <c r="I722" s="14">
        <v>0.36</v>
      </c>
    </row>
    <row r="723">
      <c r="A723" s="14">
        <v>2009.0</v>
      </c>
      <c r="B723" s="14" t="s">
        <v>198</v>
      </c>
      <c r="C723" s="14">
        <v>2.147</v>
      </c>
      <c r="D723" s="19">
        <v>4.244627804E9</v>
      </c>
      <c r="E723" s="18">
        <v>7.594346580039E10</v>
      </c>
      <c r="F723" s="14">
        <v>0.12</v>
      </c>
      <c r="G723" s="14">
        <v>1.0</v>
      </c>
      <c r="H723" s="18">
        <v>9.11321589519E9</v>
      </c>
      <c r="I723" s="14">
        <v>0.19</v>
      </c>
    </row>
    <row r="724">
      <c r="A724" s="14">
        <v>2009.0</v>
      </c>
      <c r="B724" s="14" t="s">
        <v>88</v>
      </c>
      <c r="C724" s="14">
        <v>1585.45</v>
      </c>
      <c r="D724" s="19">
        <v>1.2772059E8</v>
      </c>
      <c r="E724" s="18">
        <v>3.0223076148115E11</v>
      </c>
      <c r="F724" s="14">
        <v>0.67</v>
      </c>
      <c r="G724" s="14">
        <v>1.0</v>
      </c>
      <c r="H724" s="18">
        <v>2.024946094155E11</v>
      </c>
      <c r="I724" s="14">
        <v>4.26</v>
      </c>
    </row>
    <row r="725">
      <c r="A725" s="14">
        <v>2009.0</v>
      </c>
      <c r="B725" s="14" t="s">
        <v>196</v>
      </c>
      <c r="C725" s="14">
        <v>280.86</v>
      </c>
      <c r="D725" s="19">
        <v>7.245E7</v>
      </c>
      <c r="E725" s="18">
        <v>8.84709E10</v>
      </c>
      <c r="F725" s="14">
        <v>0.23</v>
      </c>
      <c r="G725" s="14">
        <v>1.0</v>
      </c>
      <c r="H725" s="18">
        <v>2.0348307E10</v>
      </c>
      <c r="I725" s="14">
        <v>0.43</v>
      </c>
    </row>
    <row r="726">
      <c r="A726" s="14">
        <v>2009.0</v>
      </c>
      <c r="B726" s="14" t="s">
        <v>146</v>
      </c>
      <c r="C726" s="14">
        <v>145.99</v>
      </c>
      <c r="D726" s="19">
        <v>1.56159961E8</v>
      </c>
      <c r="E726" s="18">
        <v>1.1398896396992E11</v>
      </c>
      <c r="F726" s="14">
        <v>0.2</v>
      </c>
      <c r="G726" s="14">
        <v>1.0</v>
      </c>
      <c r="H726" s="18">
        <v>2.279779270639E10</v>
      </c>
      <c r="I726" s="14">
        <v>0.48</v>
      </c>
    </row>
    <row r="727">
      <c r="A727" s="14">
        <v>2009.0</v>
      </c>
      <c r="B727" s="14" t="s">
        <v>132</v>
      </c>
      <c r="C727" s="14">
        <v>250.74</v>
      </c>
      <c r="D727" s="19">
        <v>1.589726672E9</v>
      </c>
      <c r="E727" s="18">
        <v>2.65738710583458E12</v>
      </c>
      <c r="F727" s="14">
        <v>0.15</v>
      </c>
      <c r="G727" s="14">
        <v>1.0</v>
      </c>
      <c r="H727" s="18">
        <v>3.9860806573728E11</v>
      </c>
      <c r="I727" s="14">
        <v>8.38</v>
      </c>
    </row>
    <row r="728">
      <c r="A728" s="14">
        <v>2009.0</v>
      </c>
      <c r="B728" s="14" t="s">
        <v>90</v>
      </c>
      <c r="C728" s="14">
        <v>148.43</v>
      </c>
      <c r="D728" s="19">
        <v>3.27913344E8</v>
      </c>
      <c r="E728" s="18">
        <v>1.081603947776E11</v>
      </c>
      <c r="F728" s="14">
        <v>0.45</v>
      </c>
      <c r="G728" s="14">
        <v>1.0</v>
      </c>
      <c r="H728" s="18">
        <v>4.867217764992E10</v>
      </c>
      <c r="I728" s="14">
        <v>1.02</v>
      </c>
    </row>
    <row r="729">
      <c r="A729" s="14">
        <v>2009.0</v>
      </c>
      <c r="B729" s="14" t="s">
        <v>93</v>
      </c>
      <c r="C729" s="14">
        <v>81.82</v>
      </c>
      <c r="D729" s="19">
        <v>8.41890972E9</v>
      </c>
      <c r="E729" s="18">
        <v>1.76624408536E12</v>
      </c>
      <c r="F729" s="14">
        <v>0.39</v>
      </c>
      <c r="G729" s="14">
        <v>1.0</v>
      </c>
      <c r="H729" s="18">
        <v>6.888351932904E11</v>
      </c>
      <c r="I729" s="14">
        <v>14.49</v>
      </c>
    </row>
    <row r="730">
      <c r="A730" s="14">
        <v>2009.0</v>
      </c>
      <c r="B730" s="14" t="s">
        <v>94</v>
      </c>
      <c r="C730" s="14">
        <v>68.74</v>
      </c>
      <c r="D730" s="19">
        <v>9.2E8</v>
      </c>
      <c r="E730" s="18">
        <v>6.374E10</v>
      </c>
      <c r="F730" s="14">
        <v>0.92</v>
      </c>
      <c r="G730" s="14">
        <v>1.0</v>
      </c>
      <c r="H730" s="18">
        <v>6.32408E10</v>
      </c>
      <c r="I730" s="14">
        <v>1.33</v>
      </c>
    </row>
    <row r="731">
      <c r="A731" s="14">
        <v>2009.0</v>
      </c>
      <c r="B731" s="14" t="s">
        <v>143</v>
      </c>
      <c r="C731" s="14">
        <v>162.7</v>
      </c>
      <c r="D731" s="19">
        <v>2.37064981E8</v>
      </c>
      <c r="E731" s="18">
        <v>7.714094512653E11</v>
      </c>
      <c r="F731" s="14">
        <v>0.05</v>
      </c>
      <c r="G731" s="14">
        <v>1.0</v>
      </c>
      <c r="H731" s="18">
        <v>3.85704724087E10</v>
      </c>
      <c r="I731" s="14">
        <v>0.81</v>
      </c>
    </row>
    <row r="732">
      <c r="A732" s="14">
        <v>2009.0</v>
      </c>
      <c r="B732" s="14" t="s">
        <v>141</v>
      </c>
      <c r="C732" s="14">
        <v>26.634</v>
      </c>
      <c r="D732" s="19">
        <v>5.716159152E9</v>
      </c>
      <c r="E732" s="18">
        <v>9.5152614297297E11</v>
      </c>
      <c r="F732" s="14">
        <v>0.16</v>
      </c>
      <c r="G732" s="14">
        <v>1.0</v>
      </c>
      <c r="H732" s="18">
        <v>1.5224418285437E11</v>
      </c>
      <c r="I732" s="14">
        <v>3.2</v>
      </c>
    </row>
    <row r="733">
      <c r="A733" s="14">
        <v>2009.0</v>
      </c>
      <c r="B733" s="14" t="s">
        <v>142</v>
      </c>
      <c r="C733" s="14">
        <v>14.6</v>
      </c>
      <c r="D733" s="19">
        <v>4.082059064E9</v>
      </c>
      <c r="E733" s="18">
        <v>1.12449174231E11</v>
      </c>
      <c r="F733" s="14">
        <v>0.53</v>
      </c>
      <c r="G733" s="14">
        <v>1.0</v>
      </c>
      <c r="H733" s="18">
        <v>5.95980623344E10</v>
      </c>
      <c r="I733" s="14">
        <v>1.25</v>
      </c>
    </row>
    <row r="734">
      <c r="A734" s="14">
        <v>2009.0</v>
      </c>
      <c r="B734" s="14" t="s">
        <v>136</v>
      </c>
      <c r="C734" s="14">
        <v>139.03</v>
      </c>
      <c r="D734" s="19">
        <v>1.329001327E9</v>
      </c>
      <c r="E734" s="18">
        <v>3.02903368021E11</v>
      </c>
      <c r="F734" s="14">
        <v>0.61</v>
      </c>
      <c r="G734" s="14">
        <v>1.0</v>
      </c>
      <c r="H734" s="18">
        <v>1.8477105449281E11</v>
      </c>
      <c r="I734" s="14">
        <v>3.89</v>
      </c>
    </row>
    <row r="735">
      <c r="A735" s="14">
        <v>2009.0</v>
      </c>
      <c r="B735" s="14" t="s">
        <v>104</v>
      </c>
      <c r="C735" s="14">
        <v>23712.74</v>
      </c>
      <c r="D735" s="19">
        <v>1523777.0</v>
      </c>
      <c r="E735" s="18">
        <v>3.68703466075E10</v>
      </c>
      <c r="F735" s="14">
        <v>0.98</v>
      </c>
      <c r="G735" s="14">
        <v>1.0</v>
      </c>
      <c r="H735" s="18">
        <v>3.613292781898E10</v>
      </c>
      <c r="I735" s="14">
        <v>0.76</v>
      </c>
    </row>
    <row r="736">
      <c r="A736" s="14">
        <v>2009.0</v>
      </c>
      <c r="B736" s="14" t="s">
        <v>160</v>
      </c>
      <c r="C736" s="14">
        <v>126.09</v>
      </c>
      <c r="D736" s="19">
        <v>7.222926E8</v>
      </c>
      <c r="E736" s="18">
        <v>2.678643351E11</v>
      </c>
      <c r="F736" s="14">
        <v>0.34</v>
      </c>
      <c r="G736" s="14">
        <v>1.0</v>
      </c>
      <c r="H736" s="18">
        <v>9.1073873934E10</v>
      </c>
      <c r="I736" s="14">
        <v>1.92</v>
      </c>
    </row>
    <row r="737">
      <c r="A737" s="14">
        <v>2009.0</v>
      </c>
      <c r="B737" s="14" t="s">
        <v>197</v>
      </c>
      <c r="C737" s="14">
        <v>0.785</v>
      </c>
      <c r="D737" s="19">
        <v>1.2919512808E10</v>
      </c>
      <c r="E737" s="18">
        <v>2.53545438857E10</v>
      </c>
      <c r="F737" s="14">
        <v>0.4</v>
      </c>
      <c r="G737" s="14">
        <v>1.0</v>
      </c>
      <c r="H737" s="18">
        <v>1.014181755428E10</v>
      </c>
      <c r="I737" s="14">
        <v>0.21</v>
      </c>
    </row>
    <row r="738">
      <c r="A738" s="14">
        <v>2009.0</v>
      </c>
      <c r="B738" s="14" t="s">
        <v>9</v>
      </c>
      <c r="C738" s="14">
        <v>0.0695</v>
      </c>
      <c r="D738" s="19">
        <v>2.301319094214E12</v>
      </c>
      <c r="E738" s="18">
        <v>7.2700762294499E11</v>
      </c>
      <c r="F738" s="14">
        <v>0.22</v>
      </c>
      <c r="G738" s="14">
        <v>1.0</v>
      </c>
      <c r="H738" s="18">
        <v>1.5994167704787E11</v>
      </c>
      <c r="I738" s="14">
        <v>3.36</v>
      </c>
    </row>
    <row r="739">
      <c r="A739" s="14">
        <v>2009.0</v>
      </c>
      <c r="B739" s="14" t="s">
        <v>199</v>
      </c>
      <c r="C739" s="14">
        <v>88.06</v>
      </c>
      <c r="D739" s="19">
        <v>1.08226619E8</v>
      </c>
      <c r="E739" s="18">
        <v>2.16600820954E10</v>
      </c>
      <c r="F739" s="14">
        <v>0.44</v>
      </c>
      <c r="G739" s="14">
        <v>1.0</v>
      </c>
      <c r="H739" s="18">
        <v>9.53043606914E9</v>
      </c>
      <c r="I739" s="14">
        <v>0.2</v>
      </c>
    </row>
    <row r="740">
      <c r="A740" s="14">
        <v>2008.0</v>
      </c>
      <c r="B740" s="14" t="s">
        <v>39</v>
      </c>
      <c r="C740" s="14">
        <v>27.13</v>
      </c>
      <c r="D740" s="14">
        <v>0.0</v>
      </c>
      <c r="E740" s="14">
        <v>0.0</v>
      </c>
      <c r="F740" s="14">
        <v>0.22</v>
      </c>
      <c r="G740" s="14">
        <v>1.0</v>
      </c>
      <c r="H740" s="14">
        <v>0.0</v>
      </c>
      <c r="I740" s="14">
        <v>0.45</v>
      </c>
    </row>
    <row r="741">
      <c r="A741" s="14">
        <v>2008.0</v>
      </c>
      <c r="B741" s="14" t="s">
        <v>96</v>
      </c>
      <c r="C741" s="14">
        <v>83.68</v>
      </c>
      <c r="D741" s="14">
        <v>0.0</v>
      </c>
      <c r="E741" s="14">
        <v>0.0</v>
      </c>
      <c r="F741" s="14">
        <v>0.09</v>
      </c>
      <c r="G741" s="14">
        <v>1.0</v>
      </c>
      <c r="H741" s="14">
        <v>0.0</v>
      </c>
      <c r="I741" s="14">
        <v>0.51</v>
      </c>
    </row>
    <row r="742">
      <c r="A742" s="14">
        <v>2008.0</v>
      </c>
      <c r="B742" s="14" t="s">
        <v>43</v>
      </c>
      <c r="C742" s="14">
        <v>108.59</v>
      </c>
      <c r="D742" s="14">
        <v>0.0</v>
      </c>
      <c r="E742" s="14">
        <v>0.0</v>
      </c>
      <c r="F742" s="14">
        <v>0.31</v>
      </c>
      <c r="G742" s="14">
        <v>0.2537</v>
      </c>
      <c r="H742" s="14">
        <v>0.0</v>
      </c>
      <c r="I742" s="14">
        <v>13.69</v>
      </c>
    </row>
    <row r="743">
      <c r="A743" s="14">
        <v>2008.0</v>
      </c>
      <c r="B743" s="14" t="s">
        <v>45</v>
      </c>
      <c r="C743" s="14">
        <v>2004.98</v>
      </c>
      <c r="D743" s="14">
        <v>0.0</v>
      </c>
      <c r="E743" s="14">
        <v>0.0</v>
      </c>
      <c r="F743" s="14">
        <v>0.19</v>
      </c>
      <c r="G743" s="14">
        <v>1.0</v>
      </c>
      <c r="H743" s="14">
        <v>0.0</v>
      </c>
      <c r="I743" s="14">
        <v>4.92</v>
      </c>
    </row>
    <row r="744">
      <c r="A744" s="14">
        <v>2008.0</v>
      </c>
      <c r="B744" s="14" t="s">
        <v>106</v>
      </c>
      <c r="C744" s="14">
        <v>0.588</v>
      </c>
      <c r="D744" s="14">
        <v>0.0</v>
      </c>
      <c r="E744" s="14">
        <v>0.0</v>
      </c>
      <c r="F744" s="14">
        <v>0.39</v>
      </c>
      <c r="G744" s="14">
        <v>1.0</v>
      </c>
      <c r="H744" s="14">
        <v>0.0</v>
      </c>
      <c r="I744" s="14">
        <v>3.8</v>
      </c>
    </row>
    <row r="745">
      <c r="A745" s="14">
        <v>2008.0</v>
      </c>
      <c r="B745" s="14" t="s">
        <v>78</v>
      </c>
      <c r="C745" s="14">
        <v>948.3</v>
      </c>
      <c r="D745" s="14">
        <v>0.0</v>
      </c>
      <c r="E745" s="14">
        <v>0.0</v>
      </c>
      <c r="F745" s="14">
        <v>0.49</v>
      </c>
      <c r="G745" s="14">
        <v>0.6074</v>
      </c>
      <c r="H745" s="14">
        <v>0.0</v>
      </c>
      <c r="I745" s="14">
        <v>16.25</v>
      </c>
    </row>
    <row r="746">
      <c r="A746" s="14">
        <v>2008.0</v>
      </c>
      <c r="B746" s="14" t="s">
        <v>69</v>
      </c>
      <c r="C746" s="14">
        <v>5.702</v>
      </c>
      <c r="D746" s="14">
        <v>0.0</v>
      </c>
      <c r="E746" s="14">
        <v>0.0</v>
      </c>
      <c r="F746" s="14">
        <v>0.12</v>
      </c>
      <c r="G746" s="14">
        <v>1.0</v>
      </c>
      <c r="H746" s="14">
        <v>0.0</v>
      </c>
      <c r="I746" s="14">
        <v>0.52</v>
      </c>
    </row>
    <row r="747">
      <c r="A747" s="14">
        <v>2008.0</v>
      </c>
      <c r="B747" s="14" t="s">
        <v>126</v>
      </c>
      <c r="C747" s="14">
        <v>0.937</v>
      </c>
      <c r="D747" s="14">
        <v>0.0</v>
      </c>
      <c r="E747" s="14">
        <v>0.0</v>
      </c>
      <c r="F747" s="14">
        <v>0.1</v>
      </c>
      <c r="G747" s="14">
        <v>1.0</v>
      </c>
      <c r="H747" s="14">
        <v>0.0</v>
      </c>
      <c r="I747" s="14">
        <v>0.25</v>
      </c>
    </row>
    <row r="748">
      <c r="A748" s="14">
        <v>2008.0</v>
      </c>
      <c r="B748" s="14" t="s">
        <v>144</v>
      </c>
      <c r="C748" s="14">
        <v>110.57</v>
      </c>
      <c r="D748" s="14">
        <v>0.0</v>
      </c>
      <c r="E748" s="14">
        <v>0.0</v>
      </c>
      <c r="F748" s="14">
        <v>0.15</v>
      </c>
      <c r="G748" s="14">
        <v>1.0</v>
      </c>
      <c r="H748" s="14">
        <v>0.0</v>
      </c>
      <c r="I748" s="14">
        <v>2.24</v>
      </c>
    </row>
    <row r="749">
      <c r="A749" s="14">
        <v>2008.0</v>
      </c>
      <c r="B749" s="14" t="s">
        <v>82</v>
      </c>
      <c r="C749" s="14">
        <v>29.1</v>
      </c>
      <c r="D749" s="14">
        <v>0.0</v>
      </c>
      <c r="E749" s="14">
        <v>0.0</v>
      </c>
      <c r="F749" s="14">
        <v>0.15</v>
      </c>
      <c r="G749" s="14">
        <v>1.0</v>
      </c>
      <c r="H749" s="14">
        <v>0.0</v>
      </c>
      <c r="I749" s="14">
        <v>1.77</v>
      </c>
    </row>
    <row r="750">
      <c r="A750" s="14">
        <v>2008.0</v>
      </c>
      <c r="B750" s="14" t="s">
        <v>145</v>
      </c>
      <c r="C750" s="14">
        <v>46.97</v>
      </c>
      <c r="D750" s="14">
        <v>0.0</v>
      </c>
      <c r="E750" s="14">
        <v>0.0</v>
      </c>
      <c r="F750" s="14">
        <v>0.39</v>
      </c>
      <c r="G750" s="14">
        <v>1.0</v>
      </c>
      <c r="H750" s="14">
        <v>0.0</v>
      </c>
      <c r="I750" s="14">
        <v>3.77</v>
      </c>
    </row>
    <row r="751">
      <c r="A751" s="14">
        <v>2008.0</v>
      </c>
      <c r="B751" s="14" t="s">
        <v>195</v>
      </c>
      <c r="C751" s="14">
        <v>0.36</v>
      </c>
      <c r="D751" s="14">
        <v>0.0</v>
      </c>
      <c r="E751" s="14">
        <v>0.0</v>
      </c>
      <c r="F751" s="14">
        <v>0.08</v>
      </c>
      <c r="G751" s="14">
        <v>1.0</v>
      </c>
      <c r="H751" s="14">
        <v>0.0</v>
      </c>
      <c r="I751" s="14">
        <v>0.09</v>
      </c>
    </row>
    <row r="752">
      <c r="A752" s="14">
        <v>2008.0</v>
      </c>
      <c r="B752" s="14" t="s">
        <v>198</v>
      </c>
      <c r="C752" s="14">
        <v>1.028</v>
      </c>
      <c r="D752" s="14">
        <v>0.0</v>
      </c>
      <c r="E752" s="14">
        <v>0.0</v>
      </c>
      <c r="F752" s="14">
        <v>0.15</v>
      </c>
      <c r="G752" s="14">
        <v>1.0</v>
      </c>
      <c r="H752" s="14">
        <v>0.0</v>
      </c>
      <c r="I752" s="14">
        <v>0.37</v>
      </c>
    </row>
    <row r="753">
      <c r="A753" s="14">
        <v>2008.0</v>
      </c>
      <c r="B753" s="14" t="s">
        <v>88</v>
      </c>
      <c r="C753" s="14">
        <v>766.98</v>
      </c>
      <c r="D753" s="14">
        <v>0.0</v>
      </c>
      <c r="E753" s="14">
        <v>0.0</v>
      </c>
      <c r="F753" s="14">
        <v>0.36</v>
      </c>
      <c r="G753" s="14">
        <v>1.0</v>
      </c>
      <c r="H753" s="14">
        <v>0.0</v>
      </c>
      <c r="I753" s="14">
        <v>3.56</v>
      </c>
    </row>
    <row r="754">
      <c r="A754" s="14">
        <v>2008.0</v>
      </c>
      <c r="B754" s="14" t="s">
        <v>196</v>
      </c>
      <c r="C754" s="14">
        <v>127.58</v>
      </c>
      <c r="D754" s="14">
        <v>0.0</v>
      </c>
      <c r="E754" s="14">
        <v>0.0</v>
      </c>
      <c r="F754" s="14">
        <v>0.32</v>
      </c>
      <c r="G754" s="14">
        <v>1.0</v>
      </c>
      <c r="H754" s="14">
        <v>0.0</v>
      </c>
      <c r="I754" s="14">
        <v>0.87</v>
      </c>
    </row>
    <row r="755">
      <c r="A755" s="14">
        <v>2008.0</v>
      </c>
      <c r="B755" s="14" t="s">
        <v>146</v>
      </c>
      <c r="C755" s="14">
        <v>30.31</v>
      </c>
      <c r="D755" s="14">
        <v>0.0</v>
      </c>
      <c r="E755" s="14">
        <v>0.0</v>
      </c>
      <c r="F755" s="14">
        <v>0.2</v>
      </c>
      <c r="G755" s="14">
        <v>1.0</v>
      </c>
      <c r="H755" s="14">
        <v>0.0</v>
      </c>
      <c r="I755" s="14">
        <v>0.32</v>
      </c>
    </row>
    <row r="756">
      <c r="A756" s="14">
        <v>2008.0</v>
      </c>
      <c r="B756" s="14" t="s">
        <v>200</v>
      </c>
      <c r="C756" s="14">
        <v>16.01</v>
      </c>
      <c r="D756" s="14">
        <v>0.0</v>
      </c>
      <c r="E756" s="14">
        <v>0.0</v>
      </c>
      <c r="F756" s="14">
        <v>0.55</v>
      </c>
      <c r="G756" s="14">
        <v>1.0</v>
      </c>
      <c r="H756" s="14">
        <v>0.0</v>
      </c>
      <c r="I756" s="14">
        <v>0.08</v>
      </c>
    </row>
    <row r="757">
      <c r="A757" s="14">
        <v>2008.0</v>
      </c>
      <c r="B757" s="14" t="s">
        <v>132</v>
      </c>
      <c r="C757" s="14">
        <v>112.4</v>
      </c>
      <c r="D757" s="14">
        <v>0.0</v>
      </c>
      <c r="E757" s="14">
        <v>0.0</v>
      </c>
      <c r="F757" s="14">
        <v>0.15</v>
      </c>
      <c r="G757" s="14">
        <v>1.0</v>
      </c>
      <c r="H757" s="14">
        <v>0.0</v>
      </c>
      <c r="I757" s="14">
        <v>10.91</v>
      </c>
    </row>
    <row r="758">
      <c r="A758" s="14">
        <v>2008.0</v>
      </c>
      <c r="B758" s="14" t="s">
        <v>90</v>
      </c>
      <c r="C758" s="14">
        <v>268.9</v>
      </c>
      <c r="D758" s="14">
        <v>0.0</v>
      </c>
      <c r="E758" s="14">
        <v>0.0</v>
      </c>
      <c r="F758" s="14">
        <v>0.17</v>
      </c>
      <c r="G758" s="14">
        <v>1.0</v>
      </c>
      <c r="H758" s="14">
        <v>0.0</v>
      </c>
      <c r="I758" s="14">
        <v>2.26</v>
      </c>
    </row>
    <row r="759">
      <c r="A759" s="14">
        <v>2008.0</v>
      </c>
      <c r="B759" s="14" t="s">
        <v>93</v>
      </c>
      <c r="C759" s="14">
        <v>22.99</v>
      </c>
      <c r="D759" s="14">
        <v>0.0</v>
      </c>
      <c r="E759" s="14">
        <v>0.0</v>
      </c>
      <c r="F759" s="14">
        <v>0.39</v>
      </c>
      <c r="G759" s="14">
        <v>1.0</v>
      </c>
      <c r="H759" s="14">
        <v>0.0</v>
      </c>
      <c r="I759" s="14">
        <v>13.1</v>
      </c>
    </row>
    <row r="760">
      <c r="A760" s="14">
        <v>2008.0</v>
      </c>
      <c r="B760" s="14" t="s">
        <v>94</v>
      </c>
      <c r="C760" s="14">
        <v>9.1</v>
      </c>
      <c r="D760" s="14">
        <v>0.0</v>
      </c>
      <c r="E760" s="14">
        <v>0.0</v>
      </c>
      <c r="F760" s="14">
        <v>0.92</v>
      </c>
      <c r="G760" s="14">
        <v>1.0</v>
      </c>
      <c r="H760" s="14">
        <v>0.0</v>
      </c>
      <c r="I760" s="14">
        <v>0.57</v>
      </c>
    </row>
    <row r="761">
      <c r="A761" s="14">
        <v>2008.0</v>
      </c>
      <c r="B761" s="14" t="s">
        <v>143</v>
      </c>
      <c r="C761" s="14">
        <v>62.86</v>
      </c>
      <c r="D761" s="14">
        <v>0.0</v>
      </c>
      <c r="E761" s="14">
        <v>0.0</v>
      </c>
      <c r="F761" s="14">
        <v>0.07</v>
      </c>
      <c r="G761" s="14">
        <v>1.0</v>
      </c>
      <c r="H761" s="14">
        <v>0.0</v>
      </c>
      <c r="I761" s="14">
        <v>1.41</v>
      </c>
    </row>
    <row r="762">
      <c r="A762" s="14">
        <v>2008.0</v>
      </c>
      <c r="B762" s="14" t="s">
        <v>141</v>
      </c>
      <c r="C762" s="14">
        <v>16.553</v>
      </c>
      <c r="D762" s="14">
        <v>0.0</v>
      </c>
      <c r="E762" s="14">
        <v>0.0</v>
      </c>
      <c r="F762" s="14">
        <v>0.16</v>
      </c>
      <c r="G762" s="14">
        <v>1.0</v>
      </c>
      <c r="H762" s="14">
        <v>0.0</v>
      </c>
      <c r="I762" s="14">
        <v>6.41</v>
      </c>
    </row>
    <row r="763">
      <c r="A763" s="14">
        <v>2008.0</v>
      </c>
      <c r="B763" s="14" t="s">
        <v>142</v>
      </c>
      <c r="C763" s="14">
        <v>5.999</v>
      </c>
      <c r="D763" s="14">
        <v>0.0</v>
      </c>
      <c r="E763" s="14">
        <v>0.0</v>
      </c>
      <c r="F763" s="14">
        <v>0.53</v>
      </c>
      <c r="G763" s="14">
        <v>1.0</v>
      </c>
      <c r="H763" s="14">
        <v>0.0</v>
      </c>
      <c r="I763" s="14">
        <v>1.66</v>
      </c>
    </row>
    <row r="764">
      <c r="A764" s="14">
        <v>2008.0</v>
      </c>
      <c r="B764" s="14" t="s">
        <v>136</v>
      </c>
      <c r="C764" s="14">
        <v>55.94</v>
      </c>
      <c r="D764" s="14">
        <v>0.0</v>
      </c>
      <c r="E764" s="14">
        <v>0.0</v>
      </c>
      <c r="F764" s="14">
        <v>0.4</v>
      </c>
      <c r="G764" s="14">
        <v>1.0</v>
      </c>
      <c r="H764" s="14">
        <v>0.0</v>
      </c>
      <c r="I764" s="14">
        <v>3.3</v>
      </c>
    </row>
    <row r="765">
      <c r="A765" s="14">
        <v>2008.0</v>
      </c>
      <c r="B765" s="14" t="s">
        <v>104</v>
      </c>
      <c r="C765" s="14">
        <v>6798.25</v>
      </c>
      <c r="D765" s="14">
        <v>0.0</v>
      </c>
      <c r="E765" s="14">
        <v>0.0</v>
      </c>
      <c r="F765" s="14">
        <v>0.8</v>
      </c>
      <c r="G765" s="14">
        <v>1.0</v>
      </c>
      <c r="H765" s="14">
        <v>0.0</v>
      </c>
      <c r="I765" s="14">
        <v>0.57</v>
      </c>
    </row>
    <row r="766">
      <c r="A766" s="14">
        <v>2008.0</v>
      </c>
      <c r="B766" s="14" t="s">
        <v>160</v>
      </c>
      <c r="C766" s="14">
        <v>52.97</v>
      </c>
      <c r="D766" s="14">
        <v>0.0</v>
      </c>
      <c r="E766" s="14">
        <v>0.0</v>
      </c>
      <c r="F766" s="14">
        <v>0.34</v>
      </c>
      <c r="G766" s="14">
        <v>1.0</v>
      </c>
      <c r="H766" s="14">
        <v>0.0</v>
      </c>
      <c r="I766" s="14">
        <v>2.59</v>
      </c>
    </row>
    <row r="767">
      <c r="A767" s="14">
        <v>2008.0</v>
      </c>
      <c r="B767" s="14" t="s">
        <v>197</v>
      </c>
      <c r="C767" s="14">
        <v>0.291</v>
      </c>
      <c r="D767" s="14">
        <v>0.0</v>
      </c>
      <c r="E767" s="14">
        <v>0.0</v>
      </c>
      <c r="F767" s="14">
        <v>0.4</v>
      </c>
      <c r="G767" s="14">
        <v>1.0</v>
      </c>
      <c r="H767" s="14">
        <v>0.0</v>
      </c>
      <c r="I767" s="14">
        <v>0.25</v>
      </c>
    </row>
    <row r="768">
      <c r="A768" s="14">
        <v>2008.0</v>
      </c>
      <c r="B768" s="14" t="s">
        <v>9</v>
      </c>
      <c r="C768" s="14">
        <v>0.0338</v>
      </c>
      <c r="D768" s="14">
        <v>0.0</v>
      </c>
      <c r="E768" s="14">
        <v>0.0</v>
      </c>
      <c r="F768" s="14">
        <v>0.22</v>
      </c>
      <c r="G768" s="14">
        <v>1.0</v>
      </c>
      <c r="H768" s="14">
        <v>0.0</v>
      </c>
      <c r="I768" s="14">
        <v>3.39</v>
      </c>
    </row>
    <row r="769">
      <c r="A769" s="14">
        <v>2008.0</v>
      </c>
      <c r="B769" s="14" t="s">
        <v>199</v>
      </c>
      <c r="C769" s="14">
        <v>15.94</v>
      </c>
      <c r="D769" s="14">
        <v>0.0</v>
      </c>
      <c r="E769" s="14">
        <v>0.0</v>
      </c>
      <c r="F769" s="14">
        <v>0.4</v>
      </c>
      <c r="G769" s="14">
        <v>1.0</v>
      </c>
      <c r="H769" s="14">
        <v>0.0</v>
      </c>
      <c r="I769" s="14">
        <v>0.11</v>
      </c>
    </row>
    <row r="770">
      <c r="A770" s="14">
        <v>2007.0</v>
      </c>
      <c r="B770" s="14" t="s">
        <v>39</v>
      </c>
      <c r="C770" s="14">
        <v>92.88</v>
      </c>
      <c r="D770" s="14">
        <v>0.0</v>
      </c>
      <c r="E770" s="14">
        <v>0.0</v>
      </c>
      <c r="F770" s="14">
        <v>0.0</v>
      </c>
      <c r="G770" s="14">
        <v>0.0</v>
      </c>
      <c r="H770" s="14">
        <v>0.0</v>
      </c>
      <c r="I770" s="14">
        <v>0.26</v>
      </c>
    </row>
    <row r="771">
      <c r="A771" s="14">
        <v>2007.0</v>
      </c>
      <c r="B771" s="14" t="s">
        <v>201</v>
      </c>
      <c r="C771" s="14">
        <v>47.003</v>
      </c>
      <c r="D771" s="14">
        <v>0.0</v>
      </c>
      <c r="E771" s="14">
        <v>0.0</v>
      </c>
      <c r="F771" s="14">
        <v>0.0</v>
      </c>
      <c r="G771" s="14">
        <v>0.0</v>
      </c>
      <c r="H771" s="14">
        <v>0.0</v>
      </c>
      <c r="I771" s="14">
        <v>0.29</v>
      </c>
    </row>
    <row r="772">
      <c r="A772" s="14">
        <v>2007.0</v>
      </c>
      <c r="B772" s="14" t="s">
        <v>96</v>
      </c>
      <c r="C772" s="14">
        <v>558.03</v>
      </c>
      <c r="D772" s="14">
        <v>0.0</v>
      </c>
      <c r="E772" s="14">
        <v>0.0</v>
      </c>
      <c r="F772" s="14">
        <v>0.0</v>
      </c>
      <c r="G772" s="14">
        <v>0.0</v>
      </c>
      <c r="H772" s="14">
        <v>0.0</v>
      </c>
      <c r="I772" s="14">
        <v>2.78</v>
      </c>
    </row>
    <row r="773">
      <c r="A773" s="14">
        <v>2007.0</v>
      </c>
      <c r="B773" s="14" t="s">
        <v>202</v>
      </c>
      <c r="C773" s="14">
        <v>31.45</v>
      </c>
      <c r="D773" s="14">
        <v>0.0</v>
      </c>
      <c r="E773" s="14">
        <v>0.0</v>
      </c>
      <c r="F773" s="14">
        <v>0.0</v>
      </c>
      <c r="G773" s="14">
        <v>0.0</v>
      </c>
      <c r="H773" s="14">
        <v>0.0</v>
      </c>
      <c r="I773" s="14">
        <v>5.32</v>
      </c>
    </row>
    <row r="774">
      <c r="A774" s="14">
        <v>2007.0</v>
      </c>
      <c r="B774" s="14" t="s">
        <v>203</v>
      </c>
      <c r="C774" s="14">
        <v>27.774</v>
      </c>
      <c r="D774" s="14">
        <v>0.0</v>
      </c>
      <c r="E774" s="14">
        <v>0.0</v>
      </c>
      <c r="F774" s="14">
        <v>0.0</v>
      </c>
      <c r="G774" s="14">
        <v>0.0</v>
      </c>
      <c r="H774" s="14">
        <v>0.0</v>
      </c>
      <c r="I774" s="14">
        <v>0.87</v>
      </c>
    </row>
    <row r="775">
      <c r="A775" s="14">
        <v>2007.0</v>
      </c>
      <c r="B775" s="14" t="s">
        <v>43</v>
      </c>
      <c r="C775" s="14">
        <v>342.93</v>
      </c>
      <c r="D775" s="14">
        <v>0.0</v>
      </c>
      <c r="E775" s="14">
        <v>0.0</v>
      </c>
      <c r="F775" s="14">
        <v>0.0</v>
      </c>
      <c r="G775" s="14">
        <v>0.2881</v>
      </c>
      <c r="H775" s="14">
        <v>0.0</v>
      </c>
      <c r="I775" s="14">
        <v>14.95</v>
      </c>
    </row>
    <row r="776">
      <c r="A776" s="14">
        <v>2007.0</v>
      </c>
      <c r="B776" s="14" t="s">
        <v>45</v>
      </c>
      <c r="C776" s="14">
        <v>6469.03</v>
      </c>
      <c r="D776" s="14">
        <v>0.0</v>
      </c>
      <c r="E776" s="14">
        <v>0.0</v>
      </c>
      <c r="F776" s="14">
        <v>0.0</v>
      </c>
      <c r="G776" s="14">
        <v>0.0</v>
      </c>
      <c r="H776" s="14">
        <v>0.0</v>
      </c>
      <c r="I776" s="14">
        <v>7.37</v>
      </c>
    </row>
    <row r="777">
      <c r="A777" s="14">
        <v>2007.0</v>
      </c>
      <c r="B777" s="14" t="s">
        <v>78</v>
      </c>
      <c r="C777" s="14">
        <v>2067.29</v>
      </c>
      <c r="D777" s="14">
        <v>0.0</v>
      </c>
      <c r="E777" s="14">
        <v>0.0</v>
      </c>
      <c r="F777" s="14">
        <v>0.0</v>
      </c>
      <c r="G777" s="14">
        <v>0.7997</v>
      </c>
      <c r="H777" s="14">
        <v>0.0</v>
      </c>
      <c r="I777" s="14">
        <v>14.5</v>
      </c>
    </row>
    <row r="778">
      <c r="A778" s="14">
        <v>2007.0</v>
      </c>
      <c r="B778" s="14" t="s">
        <v>69</v>
      </c>
      <c r="C778" s="14">
        <v>31.5</v>
      </c>
      <c r="D778" s="14">
        <v>0.0</v>
      </c>
      <c r="E778" s="14">
        <v>0.0</v>
      </c>
      <c r="F778" s="14">
        <v>0.0</v>
      </c>
      <c r="G778" s="14">
        <v>0.0</v>
      </c>
      <c r="H778" s="14">
        <v>0.0</v>
      </c>
      <c r="I778" s="14">
        <v>0.73</v>
      </c>
    </row>
    <row r="779">
      <c r="A779" s="14">
        <v>2007.0</v>
      </c>
      <c r="B779" s="14" t="s">
        <v>204</v>
      </c>
      <c r="C779" s="14">
        <v>1325.62</v>
      </c>
      <c r="D779" s="14">
        <v>0.0</v>
      </c>
      <c r="E779" s="14">
        <v>0.0</v>
      </c>
      <c r="F779" s="14">
        <v>0.0</v>
      </c>
      <c r="G779" s="14">
        <v>0.0</v>
      </c>
      <c r="H779" s="14">
        <v>0.0</v>
      </c>
      <c r="I779" s="14">
        <v>0.71</v>
      </c>
    </row>
    <row r="780">
      <c r="A780" s="14">
        <v>2007.0</v>
      </c>
      <c r="B780" s="14" t="s">
        <v>126</v>
      </c>
      <c r="C780" s="14">
        <v>5.929</v>
      </c>
      <c r="D780" s="14">
        <v>0.0</v>
      </c>
      <c r="E780" s="14">
        <v>0.0</v>
      </c>
      <c r="F780" s="14">
        <v>0.0</v>
      </c>
      <c r="G780" s="14">
        <v>0.0</v>
      </c>
      <c r="H780" s="14">
        <v>0.0</v>
      </c>
      <c r="I780" s="14">
        <v>0.63</v>
      </c>
    </row>
    <row r="781">
      <c r="A781" s="14">
        <v>2007.0</v>
      </c>
      <c r="B781" s="14" t="s">
        <v>144</v>
      </c>
      <c r="C781" s="14">
        <v>377.32</v>
      </c>
      <c r="D781" s="14">
        <v>0.0</v>
      </c>
      <c r="E781" s="14">
        <v>0.0</v>
      </c>
      <c r="F781" s="14">
        <v>0.0</v>
      </c>
      <c r="G781" s="14">
        <v>0.0</v>
      </c>
      <c r="H781" s="14">
        <v>0.0</v>
      </c>
      <c r="I781" s="14">
        <v>6.67</v>
      </c>
    </row>
    <row r="782">
      <c r="A782" s="14">
        <v>2007.0</v>
      </c>
      <c r="B782" s="14" t="s">
        <v>82</v>
      </c>
      <c r="C782" s="14">
        <v>99.82</v>
      </c>
      <c r="D782" s="14">
        <v>0.0</v>
      </c>
      <c r="E782" s="14">
        <v>0.0</v>
      </c>
      <c r="F782" s="14">
        <v>0.0</v>
      </c>
      <c r="G782" s="14">
        <v>0.0</v>
      </c>
      <c r="H782" s="14">
        <v>0.0</v>
      </c>
      <c r="I782" s="14">
        <v>0.99</v>
      </c>
    </row>
    <row r="783">
      <c r="A783" s="14">
        <v>2007.0</v>
      </c>
      <c r="B783" s="14" t="s">
        <v>145</v>
      </c>
      <c r="C783" s="14">
        <v>184.28</v>
      </c>
      <c r="D783" s="14">
        <v>0.0</v>
      </c>
      <c r="E783" s="14">
        <v>0.0</v>
      </c>
      <c r="F783" s="14">
        <v>0.0</v>
      </c>
      <c r="G783" s="14">
        <v>0.0</v>
      </c>
      <c r="H783" s="14">
        <v>0.0</v>
      </c>
      <c r="I783" s="14">
        <v>2.88</v>
      </c>
    </row>
    <row r="784">
      <c r="A784" s="14">
        <v>2007.0</v>
      </c>
      <c r="B784" s="14" t="s">
        <v>195</v>
      </c>
      <c r="C784" s="14">
        <v>3.67</v>
      </c>
      <c r="D784" s="14">
        <v>0.0</v>
      </c>
      <c r="E784" s="14">
        <v>0.0</v>
      </c>
      <c r="F784" s="14">
        <v>0.0</v>
      </c>
      <c r="G784" s="14">
        <v>0.0</v>
      </c>
      <c r="H784" s="14">
        <v>0.0</v>
      </c>
      <c r="I784" s="14">
        <v>0.97</v>
      </c>
    </row>
    <row r="785">
      <c r="A785" s="14">
        <v>2007.0</v>
      </c>
      <c r="B785" s="14" t="s">
        <v>198</v>
      </c>
      <c r="C785" s="14">
        <v>4.316</v>
      </c>
      <c r="D785" s="14">
        <v>0.0</v>
      </c>
      <c r="E785" s="14">
        <v>0.0</v>
      </c>
      <c r="F785" s="14">
        <v>0.0</v>
      </c>
      <c r="G785" s="14">
        <v>0.0</v>
      </c>
      <c r="H785" s="14">
        <v>0.0</v>
      </c>
      <c r="I785" s="14">
        <v>0.38</v>
      </c>
    </row>
    <row r="786">
      <c r="A786" s="14">
        <v>2007.0</v>
      </c>
      <c r="B786" s="14" t="s">
        <v>88</v>
      </c>
      <c r="C786" s="14">
        <v>1127.89</v>
      </c>
      <c r="D786" s="14">
        <v>0.0</v>
      </c>
      <c r="E786" s="14">
        <v>0.0</v>
      </c>
      <c r="F786" s="14">
        <v>0.0</v>
      </c>
      <c r="G786" s="14">
        <v>0.0</v>
      </c>
      <c r="H786" s="14">
        <v>0.0</v>
      </c>
      <c r="I786" s="14">
        <v>1.64</v>
      </c>
    </row>
    <row r="787">
      <c r="A787" s="14">
        <v>2007.0</v>
      </c>
      <c r="B787" s="14" t="s">
        <v>200</v>
      </c>
      <c r="C787" s="14">
        <v>257.82</v>
      </c>
      <c r="D787" s="14">
        <v>0.0</v>
      </c>
      <c r="E787" s="14">
        <v>0.0</v>
      </c>
      <c r="F787" s="14">
        <v>0.0</v>
      </c>
      <c r="G787" s="14">
        <v>0.0</v>
      </c>
      <c r="H787" s="14">
        <v>0.0</v>
      </c>
      <c r="I787" s="14">
        <v>0.24</v>
      </c>
    </row>
    <row r="788">
      <c r="A788" s="14">
        <v>2007.0</v>
      </c>
      <c r="B788" s="14" t="s">
        <v>132</v>
      </c>
      <c r="C788" s="14">
        <v>231.5</v>
      </c>
      <c r="D788" s="14">
        <v>0.0</v>
      </c>
      <c r="E788" s="14">
        <v>0.0</v>
      </c>
      <c r="F788" s="14">
        <v>0.0</v>
      </c>
      <c r="G788" s="14">
        <v>0.0</v>
      </c>
      <c r="H788" s="14">
        <v>0.0</v>
      </c>
      <c r="I788" s="14">
        <v>5.48</v>
      </c>
    </row>
    <row r="789">
      <c r="A789" s="14">
        <v>2007.0</v>
      </c>
      <c r="B789" s="14" t="s">
        <v>90</v>
      </c>
      <c r="C789" s="14">
        <v>288.57</v>
      </c>
      <c r="D789" s="14">
        <v>0.0</v>
      </c>
      <c r="E789" s="14">
        <v>0.0</v>
      </c>
      <c r="F789" s="14">
        <v>0.0</v>
      </c>
      <c r="G789" s="14">
        <v>0.0</v>
      </c>
      <c r="H789" s="14">
        <v>0.0</v>
      </c>
      <c r="I789" s="14">
        <v>1.73</v>
      </c>
    </row>
    <row r="790">
      <c r="A790" s="14">
        <v>2007.0</v>
      </c>
      <c r="B790" s="14" t="s">
        <v>93</v>
      </c>
      <c r="C790" s="14">
        <v>101.97</v>
      </c>
      <c r="D790" s="14">
        <v>0.0</v>
      </c>
      <c r="E790" s="14">
        <v>0.0</v>
      </c>
      <c r="F790" s="14">
        <v>0.0</v>
      </c>
      <c r="G790" s="14">
        <v>0.8781</v>
      </c>
      <c r="H790" s="14">
        <v>0.0</v>
      </c>
      <c r="I790" s="14">
        <v>13.55</v>
      </c>
    </row>
    <row r="791">
      <c r="A791" s="14">
        <v>2007.0</v>
      </c>
      <c r="B791" s="14" t="s">
        <v>94</v>
      </c>
      <c r="C791" s="14">
        <v>69.92</v>
      </c>
      <c r="D791" s="14">
        <v>0.0</v>
      </c>
      <c r="E791" s="14">
        <v>0.0</v>
      </c>
      <c r="F791" s="14">
        <v>0.0</v>
      </c>
      <c r="G791" s="14">
        <v>0.8781</v>
      </c>
      <c r="H791" s="14">
        <v>0.0</v>
      </c>
      <c r="I791" s="14">
        <v>1.16</v>
      </c>
    </row>
    <row r="792">
      <c r="A792" s="14">
        <v>2007.0</v>
      </c>
      <c r="B792" s="14" t="s">
        <v>143</v>
      </c>
      <c r="C792" s="14">
        <v>153.08</v>
      </c>
      <c r="D792" s="14">
        <v>0.0</v>
      </c>
      <c r="E792" s="14">
        <v>0.0</v>
      </c>
      <c r="F792" s="14">
        <v>0.0</v>
      </c>
      <c r="G792" s="14">
        <v>0.0</v>
      </c>
      <c r="H792" s="14">
        <v>0.0</v>
      </c>
      <c r="I792" s="14">
        <v>0.9</v>
      </c>
    </row>
    <row r="793">
      <c r="A793" s="14">
        <v>2007.0</v>
      </c>
      <c r="B793" s="14" t="s">
        <v>141</v>
      </c>
      <c r="C793" s="14">
        <v>29.505</v>
      </c>
      <c r="D793" s="14">
        <v>0.0</v>
      </c>
      <c r="E793" s="14">
        <v>0.0</v>
      </c>
      <c r="F793" s="14">
        <v>0.0</v>
      </c>
      <c r="G793" s="14">
        <v>0.0</v>
      </c>
      <c r="H793" s="14">
        <v>0.0</v>
      </c>
      <c r="I793" s="14">
        <v>5.65</v>
      </c>
    </row>
    <row r="794">
      <c r="A794" s="14">
        <v>2007.0</v>
      </c>
      <c r="B794" s="14" t="s">
        <v>142</v>
      </c>
      <c r="C794" s="14">
        <v>15.552</v>
      </c>
      <c r="D794" s="14">
        <v>0.0</v>
      </c>
      <c r="E794" s="14">
        <v>0.0</v>
      </c>
      <c r="F794" s="14">
        <v>0.0</v>
      </c>
      <c r="G794" s="14">
        <v>0.0</v>
      </c>
      <c r="H794" s="14">
        <v>0.0</v>
      </c>
      <c r="I794" s="14">
        <v>1.31</v>
      </c>
    </row>
    <row r="795">
      <c r="A795" s="14">
        <v>2007.0</v>
      </c>
      <c r="B795" s="14" t="s">
        <v>136</v>
      </c>
      <c r="C795" s="14">
        <v>148.04</v>
      </c>
      <c r="D795" s="14">
        <v>0.0</v>
      </c>
      <c r="E795" s="14">
        <v>0.0</v>
      </c>
      <c r="F795" s="14">
        <v>0.0</v>
      </c>
      <c r="G795" s="14">
        <v>0.0</v>
      </c>
      <c r="H795" s="14">
        <v>0.0</v>
      </c>
      <c r="I795" s="14">
        <v>2.59</v>
      </c>
    </row>
    <row r="796">
      <c r="A796" s="14">
        <v>2007.0</v>
      </c>
      <c r="B796" s="14" t="s">
        <v>104</v>
      </c>
      <c r="C796" s="14">
        <v>48844.2</v>
      </c>
      <c r="D796" s="14">
        <v>0.0</v>
      </c>
      <c r="E796" s="14">
        <v>0.0</v>
      </c>
      <c r="F796" s="14">
        <v>0.0</v>
      </c>
      <c r="G796" s="14">
        <v>0.0</v>
      </c>
      <c r="H796" s="14">
        <v>0.0</v>
      </c>
      <c r="I796" s="14">
        <v>1.21</v>
      </c>
    </row>
    <row r="797">
      <c r="A797" s="14">
        <v>2007.0</v>
      </c>
      <c r="B797" s="14" t="s">
        <v>197</v>
      </c>
      <c r="C797" s="14">
        <v>1.503</v>
      </c>
      <c r="D797" s="14">
        <v>0.0</v>
      </c>
      <c r="E797" s="14">
        <v>0.0</v>
      </c>
      <c r="F797" s="14">
        <v>0.0</v>
      </c>
      <c r="G797" s="14">
        <v>0.0</v>
      </c>
      <c r="H797" s="14">
        <v>0.0</v>
      </c>
      <c r="I797" s="14">
        <v>0.46</v>
      </c>
    </row>
    <row r="798">
      <c r="A798" s="14">
        <v>2007.0</v>
      </c>
      <c r="B798" s="14" t="s">
        <v>9</v>
      </c>
      <c r="C798" s="14">
        <v>0.1262</v>
      </c>
      <c r="D798" s="14">
        <v>0.0</v>
      </c>
      <c r="E798" s="14">
        <v>0.0</v>
      </c>
      <c r="F798" s="14">
        <v>0.0</v>
      </c>
      <c r="G798" s="14">
        <v>0.0</v>
      </c>
      <c r="H798" s="14">
        <v>0.0</v>
      </c>
      <c r="I798" s="14">
        <v>3.5</v>
      </c>
    </row>
    <row r="799">
      <c r="A799" s="14">
        <v>2007.0</v>
      </c>
      <c r="B799" s="14" t="s">
        <v>199</v>
      </c>
      <c r="C799" s="14">
        <v>143.51</v>
      </c>
      <c r="D799" s="14">
        <v>0.0</v>
      </c>
      <c r="E799" s="14">
        <v>0.0</v>
      </c>
      <c r="F799" s="14">
        <v>0.0</v>
      </c>
      <c r="G799" s="14">
        <v>0.0</v>
      </c>
      <c r="H799" s="14">
        <v>0.0</v>
      </c>
      <c r="I799" s="14">
        <v>0.28</v>
      </c>
    </row>
    <row r="800">
      <c r="A800" s="14">
        <v>2006.0</v>
      </c>
      <c r="B800" s="14" t="s">
        <v>39</v>
      </c>
      <c r="C800" s="14">
        <v>57.22</v>
      </c>
      <c r="D800" s="14">
        <v>0.0</v>
      </c>
      <c r="E800" s="14">
        <v>0.0</v>
      </c>
      <c r="F800" s="14">
        <v>0.0</v>
      </c>
      <c r="G800" s="14">
        <v>0.0</v>
      </c>
      <c r="H800" s="14">
        <v>0.0</v>
      </c>
      <c r="I800" s="14">
        <v>0.25</v>
      </c>
    </row>
    <row r="801">
      <c r="A801" s="14">
        <v>2006.0</v>
      </c>
      <c r="B801" s="14" t="s">
        <v>201</v>
      </c>
      <c r="C801" s="14">
        <v>1786.17</v>
      </c>
      <c r="D801" s="14">
        <v>0.0</v>
      </c>
      <c r="E801" s="14">
        <v>0.0</v>
      </c>
      <c r="F801" s="14">
        <v>0.0</v>
      </c>
      <c r="G801" s="14">
        <v>0.0</v>
      </c>
      <c r="H801" s="14">
        <v>0.0</v>
      </c>
      <c r="I801" s="14">
        <v>0.31</v>
      </c>
    </row>
    <row r="802">
      <c r="A802" s="14">
        <v>2006.0</v>
      </c>
      <c r="B802" s="14" t="s">
        <v>202</v>
      </c>
      <c r="C802" s="14">
        <v>28.453</v>
      </c>
      <c r="D802" s="14">
        <v>0.0</v>
      </c>
      <c r="E802" s="14">
        <v>0.0</v>
      </c>
      <c r="F802" s="14">
        <v>0.0</v>
      </c>
      <c r="G802" s="14">
        <v>0.0</v>
      </c>
      <c r="H802" s="14">
        <v>0.0</v>
      </c>
      <c r="I802" s="14">
        <v>10.42</v>
      </c>
    </row>
    <row r="803">
      <c r="A803" s="14">
        <v>2006.0</v>
      </c>
      <c r="B803" s="14" t="s">
        <v>203</v>
      </c>
      <c r="C803" s="14">
        <v>25.074</v>
      </c>
      <c r="D803" s="14">
        <v>0.0</v>
      </c>
      <c r="E803" s="14">
        <v>0.0</v>
      </c>
      <c r="F803" s="14">
        <v>0.0</v>
      </c>
      <c r="G803" s="14">
        <v>0.0</v>
      </c>
      <c r="H803" s="14">
        <v>0.0</v>
      </c>
      <c r="I803" s="14">
        <v>1.36</v>
      </c>
    </row>
    <row r="804">
      <c r="A804" s="14">
        <v>2006.0</v>
      </c>
      <c r="B804" s="14" t="s">
        <v>43</v>
      </c>
      <c r="C804" s="14">
        <v>302.83</v>
      </c>
      <c r="D804" s="14">
        <v>0.0</v>
      </c>
      <c r="E804" s="14">
        <v>0.0</v>
      </c>
      <c r="F804" s="14">
        <v>0.0</v>
      </c>
      <c r="G804" s="14">
        <v>0.15</v>
      </c>
      <c r="H804" s="14">
        <v>0.0</v>
      </c>
      <c r="I804" s="14">
        <v>11.89</v>
      </c>
    </row>
    <row r="805">
      <c r="A805" s="14">
        <v>2006.0</v>
      </c>
      <c r="B805" s="14" t="s">
        <v>45</v>
      </c>
      <c r="C805" s="14">
        <v>4080.06</v>
      </c>
      <c r="D805" s="14">
        <v>0.0</v>
      </c>
      <c r="E805" s="14">
        <v>0.0</v>
      </c>
      <c r="F805" s="14">
        <v>0.0</v>
      </c>
      <c r="G805" s="14">
        <v>0.0</v>
      </c>
      <c r="H805" s="14">
        <v>0.0</v>
      </c>
      <c r="I805" s="14">
        <v>7.49</v>
      </c>
    </row>
    <row r="806">
      <c r="A806" s="14">
        <v>2006.0</v>
      </c>
      <c r="B806" s="14" t="s">
        <v>78</v>
      </c>
      <c r="C806" s="14">
        <v>2288.13</v>
      </c>
      <c r="D806" s="14">
        <v>0.0</v>
      </c>
      <c r="E806" s="14">
        <v>0.0</v>
      </c>
      <c r="F806" s="14">
        <v>0.0</v>
      </c>
      <c r="G806" s="14">
        <v>0.25</v>
      </c>
      <c r="H806" s="14">
        <v>0.0</v>
      </c>
      <c r="I806" s="14">
        <v>8.68</v>
      </c>
    </row>
    <row r="807">
      <c r="A807" s="14">
        <v>2006.0</v>
      </c>
      <c r="B807" s="14" t="s">
        <v>126</v>
      </c>
      <c r="C807" s="14">
        <v>5.243</v>
      </c>
      <c r="D807" s="14">
        <v>0.0</v>
      </c>
      <c r="E807" s="14">
        <v>0.0</v>
      </c>
      <c r="F807" s="14">
        <v>0.0</v>
      </c>
      <c r="G807" s="14">
        <v>0.0</v>
      </c>
      <c r="H807" s="14">
        <v>0.0</v>
      </c>
      <c r="I807" s="14">
        <v>0.79</v>
      </c>
    </row>
    <row r="808">
      <c r="A808" s="14">
        <v>2006.0</v>
      </c>
      <c r="B808" s="14" t="s">
        <v>144</v>
      </c>
      <c r="C808" s="14">
        <v>227.88</v>
      </c>
      <c r="D808" s="14">
        <v>0.0</v>
      </c>
      <c r="E808" s="14">
        <v>0.0</v>
      </c>
      <c r="F808" s="14">
        <v>0.0</v>
      </c>
      <c r="G808" s="14">
        <v>0.0</v>
      </c>
      <c r="H808" s="14">
        <v>0.0</v>
      </c>
      <c r="I808" s="14">
        <v>6.65</v>
      </c>
    </row>
    <row r="809">
      <c r="A809" s="14">
        <v>2006.0</v>
      </c>
      <c r="B809" s="14" t="s">
        <v>88</v>
      </c>
      <c r="C809" s="14">
        <v>1290.13</v>
      </c>
      <c r="D809" s="14">
        <v>0.0</v>
      </c>
      <c r="E809" s="14">
        <v>0.0</v>
      </c>
      <c r="F809" s="14">
        <v>0.0</v>
      </c>
      <c r="G809" s="14">
        <v>0.0</v>
      </c>
      <c r="H809" s="14">
        <v>0.0</v>
      </c>
      <c r="I809" s="14">
        <v>3.25</v>
      </c>
    </row>
    <row r="810">
      <c r="A810" s="14">
        <v>2006.0</v>
      </c>
      <c r="B810" s="14" t="s">
        <v>200</v>
      </c>
      <c r="C810" s="14">
        <v>299.76</v>
      </c>
      <c r="D810" s="14">
        <v>0.0</v>
      </c>
      <c r="E810" s="14">
        <v>0.0</v>
      </c>
      <c r="F810" s="14">
        <v>0.0</v>
      </c>
      <c r="G810" s="14">
        <v>0.0</v>
      </c>
      <c r="H810" s="14">
        <v>0.0</v>
      </c>
      <c r="I810" s="14">
        <v>0.4</v>
      </c>
    </row>
    <row r="811">
      <c r="A811" s="14">
        <v>2006.0</v>
      </c>
      <c r="B811" s="14" t="s">
        <v>132</v>
      </c>
      <c r="C811" s="14">
        <v>243.31</v>
      </c>
      <c r="D811" s="14">
        <v>0.0</v>
      </c>
      <c r="E811" s="14">
        <v>0.0</v>
      </c>
      <c r="F811" s="14">
        <v>0.0</v>
      </c>
      <c r="G811" s="14">
        <v>0.0</v>
      </c>
      <c r="H811" s="14">
        <v>0.0</v>
      </c>
      <c r="I811" s="14">
        <v>9.47</v>
      </c>
    </row>
    <row r="812">
      <c r="A812" s="14">
        <v>2006.0</v>
      </c>
      <c r="B812" s="14" t="s">
        <v>90</v>
      </c>
      <c r="C812" s="14">
        <v>194.54</v>
      </c>
      <c r="D812" s="14">
        <v>0.0</v>
      </c>
      <c r="E812" s="14">
        <v>0.0</v>
      </c>
      <c r="F812" s="14">
        <v>0.0</v>
      </c>
      <c r="G812" s="14">
        <v>0.0</v>
      </c>
      <c r="H812" s="14">
        <v>0.0</v>
      </c>
      <c r="I812" s="14">
        <v>2.43</v>
      </c>
    </row>
    <row r="813">
      <c r="A813" s="14">
        <v>2006.0</v>
      </c>
      <c r="B813" s="14" t="s">
        <v>93</v>
      </c>
      <c r="C813" s="14">
        <v>92105.72</v>
      </c>
      <c r="D813" s="14">
        <v>0.0</v>
      </c>
      <c r="E813" s="14">
        <v>0.0</v>
      </c>
      <c r="F813" s="14">
        <v>0.0</v>
      </c>
      <c r="G813" s="14">
        <v>0.75</v>
      </c>
      <c r="H813" s="14">
        <v>0.0</v>
      </c>
      <c r="I813" s="14">
        <v>15.65</v>
      </c>
    </row>
    <row r="814">
      <c r="A814" s="14">
        <v>2006.0</v>
      </c>
      <c r="B814" s="14" t="s">
        <v>94</v>
      </c>
      <c r="C814" s="14">
        <v>1523.49</v>
      </c>
      <c r="D814" s="14">
        <v>0.0</v>
      </c>
      <c r="E814" s="14">
        <v>0.0</v>
      </c>
      <c r="F814" s="14">
        <v>0.0</v>
      </c>
      <c r="G814" s="14">
        <v>0.0</v>
      </c>
      <c r="H814" s="14">
        <v>0.0</v>
      </c>
      <c r="I814" s="14">
        <v>2.5</v>
      </c>
    </row>
    <row r="815">
      <c r="A815" s="14">
        <v>2006.0</v>
      </c>
      <c r="B815" s="14" t="s">
        <v>143</v>
      </c>
      <c r="C815" s="14">
        <v>119.77</v>
      </c>
      <c r="D815" s="14">
        <v>0.0</v>
      </c>
      <c r="E815" s="14">
        <v>0.0</v>
      </c>
      <c r="F815" s="14">
        <v>0.0</v>
      </c>
      <c r="G815" s="14">
        <v>0.0</v>
      </c>
      <c r="H815" s="14">
        <v>0.0</v>
      </c>
      <c r="I815" s="14">
        <v>1.22</v>
      </c>
    </row>
    <row r="816">
      <c r="A816" s="14">
        <v>2006.0</v>
      </c>
      <c r="B816" s="14" t="s">
        <v>141</v>
      </c>
      <c r="C816" s="14">
        <v>40.158</v>
      </c>
      <c r="D816" s="14">
        <v>0.0</v>
      </c>
      <c r="E816" s="14">
        <v>0.0</v>
      </c>
      <c r="F816" s="14">
        <v>0.0</v>
      </c>
      <c r="G816" s="14">
        <v>0.5</v>
      </c>
      <c r="H816" s="14">
        <v>0.0</v>
      </c>
      <c r="I816" s="14">
        <v>6.91</v>
      </c>
    </row>
    <row r="817">
      <c r="A817" s="14">
        <v>2006.0</v>
      </c>
      <c r="B817" s="14" t="s">
        <v>142</v>
      </c>
      <c r="C817" s="14">
        <v>29.705</v>
      </c>
      <c r="D817" s="14">
        <v>0.0</v>
      </c>
      <c r="E817" s="14">
        <v>0.0</v>
      </c>
      <c r="F817" s="14">
        <v>0.0</v>
      </c>
      <c r="G817" s="14">
        <v>0.5</v>
      </c>
      <c r="H817" s="14">
        <v>0.0</v>
      </c>
      <c r="I817" s="14">
        <v>3.47</v>
      </c>
    </row>
    <row r="818">
      <c r="A818" s="14">
        <v>2006.0</v>
      </c>
      <c r="B818" s="14" t="s">
        <v>136</v>
      </c>
      <c r="C818" s="14">
        <v>122.04</v>
      </c>
      <c r="D818" s="14">
        <v>0.0</v>
      </c>
      <c r="E818" s="14">
        <v>0.0</v>
      </c>
      <c r="F818" s="14">
        <v>0.0</v>
      </c>
      <c r="G818" s="14">
        <v>0.0</v>
      </c>
      <c r="H818" s="14">
        <v>0.0</v>
      </c>
      <c r="I818" s="14">
        <v>3.7</v>
      </c>
    </row>
    <row r="819">
      <c r="A819" s="14">
        <v>2006.0</v>
      </c>
      <c r="B819" s="14" t="s">
        <v>104</v>
      </c>
      <c r="C819" s="14">
        <v>59924.33</v>
      </c>
      <c r="D819" s="14">
        <v>0.0</v>
      </c>
      <c r="E819" s="14">
        <v>0.0</v>
      </c>
      <c r="F819" s="14">
        <v>0.0</v>
      </c>
      <c r="G819" s="14">
        <v>0.0</v>
      </c>
      <c r="H819" s="14">
        <v>0.0</v>
      </c>
      <c r="I819" s="14">
        <v>2.26</v>
      </c>
    </row>
    <row r="820">
      <c r="A820" s="14">
        <v>2006.0</v>
      </c>
      <c r="B820" s="14" t="s">
        <v>197</v>
      </c>
      <c r="C820" s="14">
        <v>1.73</v>
      </c>
      <c r="D820" s="14">
        <v>0.0</v>
      </c>
      <c r="E820" s="14">
        <v>0.0</v>
      </c>
      <c r="F820" s="14">
        <v>0.0</v>
      </c>
      <c r="G820" s="14">
        <v>0.0</v>
      </c>
      <c r="H820" s="14">
        <v>0.0</v>
      </c>
      <c r="I820" s="14">
        <v>0.92</v>
      </c>
    </row>
    <row r="821">
      <c r="A821" s="14">
        <v>2005.0</v>
      </c>
      <c r="B821" s="14" t="s">
        <v>39</v>
      </c>
      <c r="C821" s="14">
        <v>40.14</v>
      </c>
      <c r="D821" s="14">
        <v>0.0</v>
      </c>
      <c r="E821" s="14">
        <v>0.0</v>
      </c>
      <c r="F821" s="14">
        <v>0.0</v>
      </c>
      <c r="G821" s="14">
        <v>0.0</v>
      </c>
      <c r="H821" s="14">
        <v>0.0</v>
      </c>
      <c r="I821" s="14">
        <v>1.52</v>
      </c>
    </row>
    <row r="822">
      <c r="A822" s="14">
        <v>2005.0</v>
      </c>
      <c r="B822" s="14" t="s">
        <v>201</v>
      </c>
      <c r="C822" s="14">
        <v>1050.0</v>
      </c>
      <c r="D822" s="14">
        <v>0.0</v>
      </c>
      <c r="E822" s="14">
        <v>0.0</v>
      </c>
      <c r="F822" s="14">
        <v>0.0</v>
      </c>
      <c r="G822" s="14">
        <v>0.7</v>
      </c>
      <c r="H822" s="14">
        <v>0.0</v>
      </c>
      <c r="I822" s="14">
        <v>0.5</v>
      </c>
    </row>
    <row r="823">
      <c r="A823" s="14">
        <v>2005.0</v>
      </c>
      <c r="B823" s="14" t="s">
        <v>205</v>
      </c>
      <c r="C823" s="14">
        <v>736.27</v>
      </c>
      <c r="D823" s="14">
        <v>0.0</v>
      </c>
      <c r="E823" s="14">
        <v>0.0</v>
      </c>
      <c r="F823" s="14">
        <v>0.0</v>
      </c>
      <c r="G823" s="14">
        <v>0.7</v>
      </c>
      <c r="H823" s="14">
        <v>0.0</v>
      </c>
      <c r="I823" s="14">
        <v>0.06</v>
      </c>
    </row>
    <row r="824">
      <c r="A824" s="14">
        <v>2005.0</v>
      </c>
      <c r="B824" s="14" t="s">
        <v>202</v>
      </c>
      <c r="C824" s="14">
        <v>12.113</v>
      </c>
      <c r="D824" s="14">
        <v>0.0</v>
      </c>
      <c r="E824" s="14">
        <v>0.0</v>
      </c>
      <c r="F824" s="14">
        <v>0.0</v>
      </c>
      <c r="G824" s="14">
        <v>0.0</v>
      </c>
      <c r="H824" s="14">
        <v>0.0</v>
      </c>
      <c r="I824" s="14">
        <v>10.52</v>
      </c>
    </row>
    <row r="825">
      <c r="A825" s="14">
        <v>2005.0</v>
      </c>
      <c r="B825" s="14" t="s">
        <v>203</v>
      </c>
      <c r="C825" s="14">
        <v>10.414</v>
      </c>
      <c r="D825" s="14">
        <v>0.0</v>
      </c>
      <c r="E825" s="14">
        <v>0.0</v>
      </c>
      <c r="F825" s="14">
        <v>0.0</v>
      </c>
      <c r="G825" s="14">
        <v>0.0</v>
      </c>
      <c r="H825" s="14">
        <v>0.0</v>
      </c>
      <c r="I825" s="14">
        <v>1.52</v>
      </c>
    </row>
    <row r="826">
      <c r="A826" s="14">
        <v>2005.0</v>
      </c>
      <c r="B826" s="14" t="s">
        <v>45</v>
      </c>
      <c r="C826" s="14">
        <v>2550.21</v>
      </c>
      <c r="D826" s="14">
        <v>0.0</v>
      </c>
      <c r="E826" s="14">
        <v>0.0</v>
      </c>
      <c r="F826" s="14">
        <v>0.0</v>
      </c>
      <c r="G826" s="14">
        <v>0.0</v>
      </c>
      <c r="H826" s="14">
        <v>0.0</v>
      </c>
      <c r="I826" s="14">
        <v>13.94</v>
      </c>
    </row>
    <row r="827">
      <c r="A827" s="14">
        <v>2005.0</v>
      </c>
      <c r="B827" s="14" t="s">
        <v>78</v>
      </c>
      <c r="C827" s="14">
        <v>1706.83</v>
      </c>
      <c r="D827" s="14">
        <v>0.0</v>
      </c>
      <c r="E827" s="14">
        <v>0.0</v>
      </c>
      <c r="F827" s="14">
        <v>0.0</v>
      </c>
      <c r="G827" s="14">
        <v>0.0</v>
      </c>
      <c r="H827" s="14">
        <v>0.0</v>
      </c>
      <c r="I827" s="14">
        <v>22.3</v>
      </c>
    </row>
    <row r="828">
      <c r="A828" s="14">
        <v>2005.0</v>
      </c>
      <c r="B828" s="14" t="s">
        <v>126</v>
      </c>
      <c r="C828" s="14">
        <v>4.1</v>
      </c>
      <c r="D828" s="14">
        <v>0.0</v>
      </c>
      <c r="E828" s="14">
        <v>0.0</v>
      </c>
      <c r="F828" s="14">
        <v>0.0</v>
      </c>
      <c r="G828" s="14">
        <v>0.0</v>
      </c>
      <c r="H828" s="14">
        <v>0.0</v>
      </c>
      <c r="I828" s="14">
        <v>3.71</v>
      </c>
    </row>
    <row r="829">
      <c r="A829" s="14">
        <v>2005.0</v>
      </c>
      <c r="B829" s="14" t="s">
        <v>90</v>
      </c>
      <c r="C829" s="14">
        <v>64.49</v>
      </c>
      <c r="D829" s="14">
        <v>0.0</v>
      </c>
      <c r="E829" s="14">
        <v>0.0</v>
      </c>
      <c r="F829" s="14">
        <v>0.0</v>
      </c>
      <c r="G829" s="14">
        <v>0.0</v>
      </c>
      <c r="H829" s="14">
        <v>0.0</v>
      </c>
      <c r="I829" s="14">
        <v>2.06</v>
      </c>
    </row>
    <row r="830">
      <c r="A830" s="14">
        <v>2005.0</v>
      </c>
      <c r="B830" s="14" t="s">
        <v>91</v>
      </c>
      <c r="C830" s="14">
        <v>50.41</v>
      </c>
      <c r="D830" s="14">
        <v>0.0</v>
      </c>
      <c r="E830" s="14">
        <v>0.0</v>
      </c>
      <c r="F830" s="14">
        <v>0.0</v>
      </c>
      <c r="G830" s="14">
        <v>0.0</v>
      </c>
      <c r="H830" s="14">
        <v>0.0</v>
      </c>
      <c r="I830" s="14">
        <v>0.54</v>
      </c>
    </row>
    <row r="831">
      <c r="A831" s="14">
        <v>2005.0</v>
      </c>
      <c r="B831" s="14" t="s">
        <v>93</v>
      </c>
      <c r="C831" s="14">
        <v>37651.68</v>
      </c>
      <c r="D831" s="14">
        <v>0.0</v>
      </c>
      <c r="E831" s="14">
        <v>0.0</v>
      </c>
      <c r="F831" s="14">
        <v>0.0</v>
      </c>
      <c r="G831" s="14">
        <v>0.0</v>
      </c>
      <c r="H831" s="14">
        <v>0.0</v>
      </c>
      <c r="I831" s="14">
        <v>20.25</v>
      </c>
    </row>
    <row r="832">
      <c r="A832" s="14">
        <v>2005.0</v>
      </c>
      <c r="B832" s="14" t="s">
        <v>94</v>
      </c>
      <c r="C832" s="14">
        <v>637.2</v>
      </c>
      <c r="D832" s="14">
        <v>0.0</v>
      </c>
      <c r="E832" s="14">
        <v>0.0</v>
      </c>
      <c r="F832" s="14">
        <v>0.0</v>
      </c>
      <c r="G832" s="14">
        <v>0.0</v>
      </c>
      <c r="H832" s="14">
        <v>0.0</v>
      </c>
      <c r="I832" s="14">
        <v>2.25</v>
      </c>
    </row>
    <row r="833">
      <c r="A833" s="14">
        <v>2005.0</v>
      </c>
      <c r="B833" s="14" t="s">
        <v>143</v>
      </c>
      <c r="C833" s="14">
        <v>108.23</v>
      </c>
      <c r="D833" s="14">
        <v>0.0</v>
      </c>
      <c r="E833" s="14">
        <v>0.0</v>
      </c>
      <c r="F833" s="14">
        <v>0.0</v>
      </c>
      <c r="G833" s="14">
        <v>0.0</v>
      </c>
      <c r="H833" s="14">
        <v>0.0</v>
      </c>
      <c r="I833" s="14">
        <v>5.45</v>
      </c>
    </row>
    <row r="834">
      <c r="A834" s="14">
        <v>2005.0</v>
      </c>
      <c r="B834" s="14" t="s">
        <v>141</v>
      </c>
      <c r="C834" s="14">
        <v>31.063</v>
      </c>
      <c r="D834" s="14">
        <v>0.0</v>
      </c>
      <c r="E834" s="14">
        <v>0.0</v>
      </c>
      <c r="F834" s="14">
        <v>0.0</v>
      </c>
      <c r="G834" s="14">
        <v>0.7</v>
      </c>
      <c r="H834" s="14">
        <v>0.0</v>
      </c>
      <c r="I834" s="14">
        <v>5.69</v>
      </c>
    </row>
    <row r="835">
      <c r="A835" s="14">
        <v>2005.0</v>
      </c>
      <c r="B835" s="14" t="s">
        <v>142</v>
      </c>
      <c r="C835" s="14">
        <v>25.758</v>
      </c>
      <c r="D835" s="14">
        <v>0.0</v>
      </c>
      <c r="E835" s="14">
        <v>0.0</v>
      </c>
      <c r="F835" s="14">
        <v>0.0</v>
      </c>
      <c r="G835" s="14">
        <v>0.7</v>
      </c>
      <c r="H835" s="14">
        <v>0.0</v>
      </c>
      <c r="I835" s="14">
        <v>1.4</v>
      </c>
    </row>
    <row r="836">
      <c r="A836" s="14">
        <v>2005.0</v>
      </c>
      <c r="B836" s="14" t="s">
        <v>136</v>
      </c>
      <c r="C836" s="14">
        <v>95.259</v>
      </c>
      <c r="D836" s="14">
        <v>0.0</v>
      </c>
      <c r="E836" s="14">
        <v>0.0</v>
      </c>
      <c r="F836" s="14">
        <v>0.0</v>
      </c>
      <c r="G836" s="14">
        <v>0.0</v>
      </c>
      <c r="H836" s="14">
        <v>0.0</v>
      </c>
      <c r="I836" s="14">
        <v>7.34</v>
      </c>
    </row>
    <row r="837">
      <c r="A837" s="14">
        <v>2005.0</v>
      </c>
      <c r="B837" s="14" t="s">
        <v>137</v>
      </c>
      <c r="C837" s="14">
        <v>61.093</v>
      </c>
      <c r="D837" s="14">
        <v>0.0</v>
      </c>
      <c r="E837" s="14">
        <v>0.0</v>
      </c>
      <c r="F837" s="14">
        <v>0.0</v>
      </c>
      <c r="G837" s="14">
        <v>0.0</v>
      </c>
      <c r="H837" s="14">
        <v>0.0</v>
      </c>
      <c r="I837" s="14">
        <v>0.32</v>
      </c>
    </row>
    <row r="838">
      <c r="A838" s="14">
        <v>2005.0</v>
      </c>
      <c r="B838" s="14" t="s">
        <v>206</v>
      </c>
      <c r="C838" s="14">
        <v>58.0</v>
      </c>
      <c r="D838" s="14">
        <v>0.0</v>
      </c>
      <c r="E838" s="14">
        <v>0.0</v>
      </c>
      <c r="F838" s="14">
        <v>0.0</v>
      </c>
      <c r="G838" s="14">
        <v>0.7</v>
      </c>
      <c r="H838" s="14">
        <v>0.0</v>
      </c>
      <c r="I838" s="14">
        <v>0.62</v>
      </c>
    </row>
    <row r="839">
      <c r="A839" s="14">
        <v>2004.0</v>
      </c>
      <c r="B839" s="14" t="s">
        <v>39</v>
      </c>
      <c r="C839" s="14">
        <v>34.92</v>
      </c>
      <c r="D839" s="14">
        <v>0.0</v>
      </c>
      <c r="E839" s="14">
        <v>0.0</v>
      </c>
      <c r="F839" s="14">
        <v>0.0</v>
      </c>
      <c r="G839" s="14">
        <v>0.0</v>
      </c>
      <c r="H839" s="14">
        <v>0.0</v>
      </c>
      <c r="I839" s="14">
        <v>2.42</v>
      </c>
    </row>
    <row r="840">
      <c r="A840" s="14">
        <v>2004.0</v>
      </c>
      <c r="B840" s="14" t="s">
        <v>201</v>
      </c>
      <c r="C840" s="14">
        <v>777.03</v>
      </c>
      <c r="D840" s="14">
        <v>0.0</v>
      </c>
      <c r="E840" s="14">
        <v>0.0</v>
      </c>
      <c r="F840" s="14">
        <v>0.0</v>
      </c>
      <c r="G840" s="14">
        <v>0.7</v>
      </c>
      <c r="H840" s="14">
        <v>0.0</v>
      </c>
      <c r="I840" s="14">
        <v>0.67</v>
      </c>
    </row>
    <row r="841">
      <c r="A841" s="14">
        <v>2004.0</v>
      </c>
      <c r="B841" s="14" t="s">
        <v>205</v>
      </c>
      <c r="C841" s="14">
        <v>778.05</v>
      </c>
      <c r="D841" s="14">
        <v>0.0</v>
      </c>
      <c r="E841" s="14">
        <v>0.0</v>
      </c>
      <c r="F841" s="14">
        <v>0.0</v>
      </c>
      <c r="G841" s="14">
        <v>0.7</v>
      </c>
      <c r="H841" s="14">
        <v>0.0</v>
      </c>
      <c r="I841" s="14">
        <v>0.12</v>
      </c>
    </row>
    <row r="842">
      <c r="A842" s="14">
        <v>2004.0</v>
      </c>
      <c r="B842" s="14" t="s">
        <v>202</v>
      </c>
      <c r="C842" s="14">
        <v>7.747</v>
      </c>
      <c r="D842" s="14">
        <v>0.0</v>
      </c>
      <c r="E842" s="14">
        <v>0.0</v>
      </c>
      <c r="F842" s="14">
        <v>0.0</v>
      </c>
      <c r="G842" s="14">
        <v>0.0</v>
      </c>
      <c r="H842" s="14">
        <v>0.0</v>
      </c>
      <c r="I842" s="14">
        <v>12.32</v>
      </c>
    </row>
    <row r="843">
      <c r="A843" s="14">
        <v>2004.0</v>
      </c>
      <c r="B843" s="14" t="s">
        <v>203</v>
      </c>
      <c r="C843" s="14">
        <v>6.895</v>
      </c>
      <c r="D843" s="14">
        <v>0.0</v>
      </c>
      <c r="E843" s="14">
        <v>0.0</v>
      </c>
      <c r="F843" s="14">
        <v>0.0</v>
      </c>
      <c r="G843" s="14">
        <v>0.0</v>
      </c>
      <c r="H843" s="14">
        <v>0.0</v>
      </c>
      <c r="I843" s="14">
        <v>1.85</v>
      </c>
    </row>
    <row r="844">
      <c r="A844" s="14">
        <v>2004.0</v>
      </c>
      <c r="B844" s="14" t="s">
        <v>45</v>
      </c>
      <c r="C844" s="14">
        <v>1507.27</v>
      </c>
      <c r="D844" s="14">
        <v>0.0</v>
      </c>
      <c r="E844" s="14">
        <v>0.0</v>
      </c>
      <c r="F844" s="14">
        <v>0.0</v>
      </c>
      <c r="G844" s="14">
        <v>0.0</v>
      </c>
      <c r="H844" s="14">
        <v>0.0</v>
      </c>
      <c r="I844" s="14">
        <v>15.08</v>
      </c>
    </row>
    <row r="845">
      <c r="A845" s="14">
        <v>2004.0</v>
      </c>
      <c r="B845" s="14" t="s">
        <v>78</v>
      </c>
      <c r="C845" s="14">
        <v>833.81</v>
      </c>
      <c r="D845" s="14">
        <v>0.0</v>
      </c>
      <c r="E845" s="14">
        <v>0.0</v>
      </c>
      <c r="F845" s="14">
        <v>0.0</v>
      </c>
      <c r="G845" s="14">
        <v>0.0</v>
      </c>
      <c r="H845" s="14">
        <v>0.0</v>
      </c>
      <c r="I845" s="14">
        <v>19.94</v>
      </c>
    </row>
    <row r="846">
      <c r="A846" s="14">
        <v>2004.0</v>
      </c>
      <c r="B846" s="14" t="s">
        <v>126</v>
      </c>
      <c r="C846" s="14">
        <v>4.1</v>
      </c>
      <c r="D846" s="14">
        <v>0.0</v>
      </c>
      <c r="E846" s="14">
        <v>0.0</v>
      </c>
      <c r="F846" s="14">
        <v>0.0</v>
      </c>
      <c r="G846" s="14">
        <v>0.0</v>
      </c>
      <c r="H846" s="14">
        <v>0.0</v>
      </c>
      <c r="I846" s="14">
        <v>6.8</v>
      </c>
    </row>
    <row r="847">
      <c r="A847" s="14">
        <v>2004.0</v>
      </c>
      <c r="B847" s="14" t="s">
        <v>90</v>
      </c>
      <c r="C847" s="14">
        <v>50.46</v>
      </c>
      <c r="D847" s="14">
        <v>0.0</v>
      </c>
      <c r="E847" s="14">
        <v>0.0</v>
      </c>
      <c r="F847" s="14">
        <v>0.0</v>
      </c>
      <c r="G847" s="14">
        <v>0.0</v>
      </c>
      <c r="H847" s="14">
        <v>0.0</v>
      </c>
      <c r="I847" s="14">
        <v>2.95</v>
      </c>
    </row>
    <row r="848">
      <c r="A848" s="14">
        <v>2004.0</v>
      </c>
      <c r="B848" s="14" t="s">
        <v>91</v>
      </c>
      <c r="C848" s="14">
        <v>40.0</v>
      </c>
      <c r="D848" s="14">
        <v>0.0</v>
      </c>
      <c r="E848" s="14">
        <v>0.0</v>
      </c>
      <c r="F848" s="14">
        <v>0.0</v>
      </c>
      <c r="G848" s="14">
        <v>0.0</v>
      </c>
      <c r="H848" s="14">
        <v>0.0</v>
      </c>
      <c r="I848" s="14">
        <v>0.78</v>
      </c>
    </row>
    <row r="849">
      <c r="A849" s="14">
        <v>2004.0</v>
      </c>
      <c r="B849" s="14" t="s">
        <v>93</v>
      </c>
      <c r="C849" s="14">
        <v>13942.5</v>
      </c>
      <c r="D849" s="14">
        <v>0.0</v>
      </c>
      <c r="E849" s="14">
        <v>0.0</v>
      </c>
      <c r="F849" s="14">
        <v>0.0</v>
      </c>
      <c r="G849" s="14">
        <v>0.0</v>
      </c>
      <c r="H849" s="14">
        <v>0.0</v>
      </c>
      <c r="I849" s="14">
        <v>13.73</v>
      </c>
    </row>
    <row r="850">
      <c r="A850" s="14">
        <v>2004.0</v>
      </c>
      <c r="B850" s="14" t="s">
        <v>94</v>
      </c>
      <c r="C850" s="14">
        <v>139.19</v>
      </c>
      <c r="D850" s="14">
        <v>0.0</v>
      </c>
      <c r="E850" s="14">
        <v>0.0</v>
      </c>
      <c r="F850" s="14">
        <v>0.0</v>
      </c>
      <c r="G850" s="14">
        <v>0.0</v>
      </c>
      <c r="H850" s="14">
        <v>0.0</v>
      </c>
      <c r="I850" s="14">
        <v>0.9</v>
      </c>
    </row>
    <row r="851">
      <c r="A851" s="14">
        <v>2004.0</v>
      </c>
      <c r="B851" s="14" t="s">
        <v>143</v>
      </c>
      <c r="C851" s="14">
        <v>83.14</v>
      </c>
      <c r="D851" s="14">
        <v>0.0</v>
      </c>
      <c r="E851" s="14">
        <v>0.0</v>
      </c>
      <c r="F851" s="14">
        <v>0.0</v>
      </c>
      <c r="G851" s="14">
        <v>0.0</v>
      </c>
      <c r="H851" s="14">
        <v>0.0</v>
      </c>
      <c r="I851" s="14">
        <v>7.66</v>
      </c>
    </row>
    <row r="852">
      <c r="A852" s="14">
        <v>2004.0</v>
      </c>
      <c r="B852" s="14" t="s">
        <v>141</v>
      </c>
      <c r="C852" s="14">
        <v>20.564</v>
      </c>
      <c r="D852" s="14">
        <v>0.0</v>
      </c>
      <c r="E852" s="14">
        <v>0.0</v>
      </c>
      <c r="F852" s="14">
        <v>0.0</v>
      </c>
      <c r="G852" s="14">
        <v>0.7</v>
      </c>
      <c r="H852" s="14">
        <v>0.0</v>
      </c>
      <c r="I852" s="14">
        <v>6.9</v>
      </c>
    </row>
    <row r="853">
      <c r="A853" s="14">
        <v>2004.0</v>
      </c>
      <c r="B853" s="14" t="s">
        <v>142</v>
      </c>
      <c r="C853" s="14">
        <v>15.07</v>
      </c>
      <c r="D853" s="14">
        <v>0.0</v>
      </c>
      <c r="E853" s="14">
        <v>0.0</v>
      </c>
      <c r="F853" s="14">
        <v>0.0</v>
      </c>
      <c r="G853" s="14">
        <v>0.7</v>
      </c>
      <c r="H853" s="14">
        <v>0.0</v>
      </c>
      <c r="I853" s="14">
        <v>1.5</v>
      </c>
    </row>
    <row r="854">
      <c r="A854" s="14">
        <v>2004.0</v>
      </c>
      <c r="B854" s="14" t="s">
        <v>136</v>
      </c>
      <c r="C854" s="14">
        <v>41.015</v>
      </c>
      <c r="D854" s="14">
        <v>0.0</v>
      </c>
      <c r="E854" s="14">
        <v>0.0</v>
      </c>
      <c r="F854" s="14">
        <v>0.0</v>
      </c>
      <c r="G854" s="14">
        <v>0.0</v>
      </c>
      <c r="H854" s="14">
        <v>0.0</v>
      </c>
      <c r="I854" s="14">
        <v>5.79</v>
      </c>
    </row>
    <row r="855">
      <c r="A855" s="14">
        <v>2004.0</v>
      </c>
      <c r="B855" s="14" t="s">
        <v>137</v>
      </c>
      <c r="C855" s="14">
        <v>21.822</v>
      </c>
      <c r="D855" s="14">
        <v>0.0</v>
      </c>
      <c r="E855" s="14">
        <v>0.0</v>
      </c>
      <c r="F855" s="14">
        <v>0.0</v>
      </c>
      <c r="G855" s="14">
        <v>0.0</v>
      </c>
      <c r="H855" s="14">
        <v>0.0</v>
      </c>
      <c r="I855" s="14">
        <v>0.21</v>
      </c>
    </row>
    <row r="856">
      <c r="A856" s="14">
        <v>2004.0</v>
      </c>
      <c r="B856" s="14" t="s">
        <v>206</v>
      </c>
      <c r="C856" s="14">
        <v>19.1</v>
      </c>
      <c r="D856" s="14">
        <v>0.0</v>
      </c>
      <c r="E856" s="14">
        <v>0.0</v>
      </c>
      <c r="F856" s="14">
        <v>0.0</v>
      </c>
      <c r="G856" s="14">
        <v>0.7</v>
      </c>
      <c r="H856" s="14">
        <v>0.0</v>
      </c>
      <c r="I856" s="14">
        <v>0.37</v>
      </c>
    </row>
    <row r="857">
      <c r="A857" s="14">
        <v>2003.0</v>
      </c>
      <c r="B857" s="14" t="s">
        <v>39</v>
      </c>
      <c r="C857" s="14">
        <v>19.99</v>
      </c>
      <c r="D857" s="14">
        <v>0.0</v>
      </c>
      <c r="E857" s="14">
        <v>0.0</v>
      </c>
      <c r="F857" s="14">
        <v>0.0</v>
      </c>
      <c r="G857" s="14">
        <v>0.0</v>
      </c>
      <c r="H857" s="14">
        <v>0.0</v>
      </c>
      <c r="I857" s="14">
        <v>1.49</v>
      </c>
    </row>
    <row r="858">
      <c r="A858" s="14">
        <v>2003.0</v>
      </c>
      <c r="B858" s="14" t="s">
        <v>201</v>
      </c>
      <c r="C858" s="14">
        <v>769.59</v>
      </c>
      <c r="D858" s="14">
        <v>0.0</v>
      </c>
      <c r="E858" s="14">
        <v>0.0</v>
      </c>
      <c r="F858" s="14">
        <v>0.0</v>
      </c>
      <c r="G858" s="14">
        <v>0.7</v>
      </c>
      <c r="H858" s="14">
        <v>0.0</v>
      </c>
      <c r="I858" s="14">
        <v>0.71</v>
      </c>
    </row>
    <row r="859">
      <c r="A859" s="14">
        <v>2003.0</v>
      </c>
      <c r="B859" s="14" t="s">
        <v>205</v>
      </c>
      <c r="C859" s="14">
        <v>469.55</v>
      </c>
      <c r="D859" s="14">
        <v>0.0</v>
      </c>
      <c r="E859" s="14">
        <v>0.0</v>
      </c>
      <c r="F859" s="14">
        <v>0.0</v>
      </c>
      <c r="G859" s="14">
        <v>0.7</v>
      </c>
      <c r="H859" s="14">
        <v>0.0</v>
      </c>
      <c r="I859" s="14">
        <v>0.08</v>
      </c>
    </row>
    <row r="860">
      <c r="A860" s="14">
        <v>2003.0</v>
      </c>
      <c r="B860" s="14" t="s">
        <v>202</v>
      </c>
      <c r="C860" s="14">
        <v>8.108</v>
      </c>
      <c r="D860" s="14">
        <v>0.0</v>
      </c>
      <c r="E860" s="14">
        <v>0.0</v>
      </c>
      <c r="F860" s="14">
        <v>0.0</v>
      </c>
      <c r="G860" s="14">
        <v>0.0</v>
      </c>
      <c r="H860" s="14">
        <v>0.0</v>
      </c>
      <c r="I860" s="14">
        <v>13.83</v>
      </c>
    </row>
    <row r="861">
      <c r="A861" s="14">
        <v>2003.0</v>
      </c>
      <c r="B861" s="14" t="s">
        <v>203</v>
      </c>
      <c r="C861" s="14">
        <v>7.221</v>
      </c>
      <c r="D861" s="14">
        <v>0.0</v>
      </c>
      <c r="E861" s="14">
        <v>0.0</v>
      </c>
      <c r="F861" s="14">
        <v>0.0</v>
      </c>
      <c r="G861" s="14">
        <v>0.0</v>
      </c>
      <c r="H861" s="14">
        <v>0.0</v>
      </c>
      <c r="I861" s="14">
        <v>2.08</v>
      </c>
    </row>
    <row r="862">
      <c r="A862" s="14">
        <v>2003.0</v>
      </c>
      <c r="B862" s="14" t="s">
        <v>45</v>
      </c>
      <c r="C862" s="14">
        <v>1900.0</v>
      </c>
      <c r="D862" s="14">
        <v>0.0</v>
      </c>
      <c r="E862" s="14">
        <v>0.0</v>
      </c>
      <c r="F862" s="14">
        <v>0.0</v>
      </c>
      <c r="G862" s="14">
        <v>0.0</v>
      </c>
      <c r="H862" s="14">
        <v>0.0</v>
      </c>
      <c r="I862" s="14">
        <v>20.4</v>
      </c>
    </row>
    <row r="863">
      <c r="A863" s="14">
        <v>2003.0</v>
      </c>
      <c r="B863" s="14" t="s">
        <v>78</v>
      </c>
      <c r="C863" s="14">
        <v>674.91</v>
      </c>
      <c r="D863" s="14">
        <v>0.0</v>
      </c>
      <c r="E863" s="14">
        <v>0.0</v>
      </c>
      <c r="F863" s="14">
        <v>0.0</v>
      </c>
      <c r="G863" s="14">
        <v>0.0</v>
      </c>
      <c r="H863" s="14">
        <v>0.0</v>
      </c>
      <c r="I863" s="14">
        <v>17.32</v>
      </c>
    </row>
    <row r="864">
      <c r="A864" s="14">
        <v>2003.0</v>
      </c>
      <c r="B864" s="14" t="s">
        <v>126</v>
      </c>
      <c r="C864" s="14">
        <v>1.958</v>
      </c>
      <c r="D864" s="14">
        <v>0.0</v>
      </c>
      <c r="E864" s="14">
        <v>0.0</v>
      </c>
      <c r="F864" s="14">
        <v>0.0</v>
      </c>
      <c r="G864" s="14">
        <v>0.0</v>
      </c>
      <c r="H864" s="14">
        <v>0.0</v>
      </c>
      <c r="I864" s="14">
        <v>3.48</v>
      </c>
    </row>
    <row r="865">
      <c r="A865" s="14">
        <v>2003.0</v>
      </c>
      <c r="B865" s="14" t="s">
        <v>90</v>
      </c>
      <c r="C865" s="14">
        <v>59.79</v>
      </c>
      <c r="D865" s="14">
        <v>0.0</v>
      </c>
      <c r="E865" s="14">
        <v>0.0</v>
      </c>
      <c r="F865" s="14">
        <v>0.0</v>
      </c>
      <c r="G865" s="14">
        <v>0.0</v>
      </c>
      <c r="H865" s="14">
        <v>0.0</v>
      </c>
      <c r="I865" s="14">
        <v>3.76</v>
      </c>
    </row>
    <row r="866">
      <c r="A866" s="14">
        <v>2003.0</v>
      </c>
      <c r="B866" s="14" t="s">
        <v>91</v>
      </c>
      <c r="C866" s="14">
        <v>41.42</v>
      </c>
      <c r="D866" s="14">
        <v>0.0</v>
      </c>
      <c r="E866" s="14">
        <v>0.0</v>
      </c>
      <c r="F866" s="14">
        <v>0.0</v>
      </c>
      <c r="G866" s="14">
        <v>0.0</v>
      </c>
      <c r="H866" s="14">
        <v>0.0</v>
      </c>
      <c r="I866" s="14">
        <v>0.87</v>
      </c>
    </row>
    <row r="867">
      <c r="A867" s="14">
        <v>2003.0</v>
      </c>
      <c r="B867" s="14" t="s">
        <v>93</v>
      </c>
      <c r="C867" s="14">
        <v>7574.18</v>
      </c>
      <c r="D867" s="14">
        <v>0.0</v>
      </c>
      <c r="E867" s="14">
        <v>0.0</v>
      </c>
      <c r="F867" s="14">
        <v>0.0</v>
      </c>
      <c r="G867" s="14">
        <v>0.0</v>
      </c>
      <c r="H867" s="14">
        <v>0.0</v>
      </c>
      <c r="I867" s="14">
        <v>8.0</v>
      </c>
    </row>
    <row r="868">
      <c r="A868" s="14">
        <v>2003.0</v>
      </c>
      <c r="B868" s="14" t="s">
        <v>94</v>
      </c>
      <c r="C868" s="14">
        <v>104.05</v>
      </c>
      <c r="D868" s="14">
        <v>0.0</v>
      </c>
      <c r="E868" s="14">
        <v>0.0</v>
      </c>
      <c r="F868" s="14">
        <v>0.0</v>
      </c>
      <c r="G868" s="14">
        <v>0.0</v>
      </c>
      <c r="H868" s="14">
        <v>0.0</v>
      </c>
      <c r="I868" s="14">
        <v>0.72</v>
      </c>
    </row>
    <row r="869">
      <c r="A869" s="14">
        <v>2003.0</v>
      </c>
      <c r="B869" s="14" t="s">
        <v>143</v>
      </c>
      <c r="C869" s="14">
        <v>83.32</v>
      </c>
      <c r="D869" s="14">
        <v>0.0</v>
      </c>
      <c r="E869" s="14">
        <v>0.0</v>
      </c>
      <c r="F869" s="14">
        <v>0.0</v>
      </c>
      <c r="G869" s="14">
        <v>0.0</v>
      </c>
      <c r="H869" s="14">
        <v>0.0</v>
      </c>
      <c r="I869" s="14">
        <v>8.24</v>
      </c>
    </row>
    <row r="870">
      <c r="A870" s="14">
        <v>2003.0</v>
      </c>
      <c r="B870" s="14" t="s">
        <v>141</v>
      </c>
      <c r="C870" s="14">
        <v>17.19</v>
      </c>
      <c r="D870" s="14">
        <v>0.0</v>
      </c>
      <c r="E870" s="14">
        <v>0.0</v>
      </c>
      <c r="F870" s="14">
        <v>0.0</v>
      </c>
      <c r="G870" s="14">
        <v>0.7</v>
      </c>
      <c r="H870" s="14">
        <v>0.0</v>
      </c>
      <c r="I870" s="14">
        <v>6.19</v>
      </c>
    </row>
    <row r="871">
      <c r="A871" s="14">
        <v>2003.0</v>
      </c>
      <c r="B871" s="14" t="s">
        <v>142</v>
      </c>
      <c r="C871" s="14">
        <v>11.378</v>
      </c>
      <c r="D871" s="14">
        <v>0.0</v>
      </c>
      <c r="E871" s="14">
        <v>0.0</v>
      </c>
      <c r="F871" s="14">
        <v>0.0</v>
      </c>
      <c r="G871" s="14">
        <v>0.7</v>
      </c>
      <c r="H871" s="14">
        <v>0.0</v>
      </c>
      <c r="I871" s="14">
        <v>1.22</v>
      </c>
    </row>
    <row r="872">
      <c r="A872" s="14">
        <v>2003.0</v>
      </c>
      <c r="B872" s="14" t="s">
        <v>136</v>
      </c>
      <c r="C872" s="14">
        <v>32.8</v>
      </c>
      <c r="D872" s="14">
        <v>0.0</v>
      </c>
      <c r="E872" s="14">
        <v>0.0</v>
      </c>
      <c r="F872" s="14">
        <v>0.0</v>
      </c>
      <c r="G872" s="14">
        <v>0.0</v>
      </c>
      <c r="H872" s="14">
        <v>0.0</v>
      </c>
      <c r="I872" s="14">
        <v>4.97</v>
      </c>
    </row>
    <row r="873">
      <c r="A873" s="14">
        <v>2003.0</v>
      </c>
      <c r="B873" s="14" t="s">
        <v>137</v>
      </c>
      <c r="C873" s="14">
        <v>16.688</v>
      </c>
      <c r="D873" s="14">
        <v>0.0</v>
      </c>
      <c r="E873" s="14">
        <v>0.0</v>
      </c>
      <c r="F873" s="14">
        <v>0.0</v>
      </c>
      <c r="G873" s="14">
        <v>0.0</v>
      </c>
      <c r="H873" s="14">
        <v>0.0</v>
      </c>
      <c r="I873" s="14">
        <v>0.17</v>
      </c>
    </row>
    <row r="874">
      <c r="A874" s="14">
        <v>2003.0</v>
      </c>
      <c r="B874" s="14" t="s">
        <v>206</v>
      </c>
      <c r="C874" s="14">
        <v>309.48</v>
      </c>
      <c r="D874" s="14">
        <v>0.0</v>
      </c>
      <c r="E874" s="14">
        <v>0.0</v>
      </c>
      <c r="F874" s="14">
        <v>0.0</v>
      </c>
      <c r="G874" s="14">
        <v>0.7</v>
      </c>
      <c r="H874" s="14">
        <v>0.0</v>
      </c>
      <c r="I874" s="14">
        <v>6.49</v>
      </c>
    </row>
    <row r="875">
      <c r="A875" s="14">
        <v>2002.0</v>
      </c>
      <c r="B875" s="14" t="s">
        <v>39</v>
      </c>
      <c r="C875" s="14">
        <v>10.878</v>
      </c>
      <c r="D875" s="14">
        <v>0.0</v>
      </c>
      <c r="E875" s="14">
        <v>0.0</v>
      </c>
      <c r="F875" s="14">
        <v>0.0</v>
      </c>
      <c r="G875" s="14">
        <v>0.0</v>
      </c>
      <c r="H875" s="14">
        <v>0.0</v>
      </c>
      <c r="I875" s="14">
        <v>0.4</v>
      </c>
    </row>
    <row r="876">
      <c r="A876" s="14">
        <v>2002.0</v>
      </c>
      <c r="B876" s="14" t="s">
        <v>201</v>
      </c>
      <c r="C876" s="14">
        <v>678.057</v>
      </c>
      <c r="D876" s="14">
        <v>0.0</v>
      </c>
      <c r="E876" s="14">
        <v>0.0</v>
      </c>
      <c r="F876" s="14">
        <v>0.0</v>
      </c>
      <c r="G876" s="14">
        <v>0.0</v>
      </c>
      <c r="H876" s="14">
        <v>0.0</v>
      </c>
      <c r="I876" s="14">
        <v>1.3</v>
      </c>
    </row>
    <row r="877">
      <c r="A877" s="14">
        <v>2002.0</v>
      </c>
      <c r="B877" s="14" t="s">
        <v>205</v>
      </c>
      <c r="C877" s="14">
        <v>365.531</v>
      </c>
      <c r="D877" s="14">
        <v>0.0</v>
      </c>
      <c r="E877" s="14">
        <v>0.0</v>
      </c>
      <c r="F877" s="14">
        <v>0.0</v>
      </c>
      <c r="G877" s="14">
        <v>0.0</v>
      </c>
      <c r="H877" s="14">
        <v>0.0</v>
      </c>
      <c r="I877" s="14">
        <v>0.2</v>
      </c>
    </row>
    <row r="878">
      <c r="A878" s="14">
        <v>2002.0</v>
      </c>
      <c r="B878" s="14" t="s">
        <v>202</v>
      </c>
      <c r="C878" s="14">
        <v>4.089</v>
      </c>
      <c r="D878" s="14">
        <v>0.0</v>
      </c>
      <c r="E878" s="14">
        <v>0.0</v>
      </c>
      <c r="F878" s="14">
        <v>0.0</v>
      </c>
      <c r="G878" s="14">
        <v>0.0</v>
      </c>
      <c r="H878" s="14">
        <v>0.0</v>
      </c>
      <c r="I878" s="14">
        <v>10.6</v>
      </c>
    </row>
    <row r="879">
      <c r="A879" s="14">
        <v>2002.0</v>
      </c>
      <c r="B879" s="14" t="s">
        <v>203</v>
      </c>
      <c r="C879" s="14">
        <v>3.372</v>
      </c>
      <c r="D879" s="14">
        <v>0.0</v>
      </c>
      <c r="E879" s="14">
        <v>0.0</v>
      </c>
      <c r="F879" s="14">
        <v>0.0</v>
      </c>
      <c r="G879" s="14">
        <v>0.0</v>
      </c>
      <c r="H879" s="14">
        <v>0.0</v>
      </c>
      <c r="I879" s="14">
        <v>0.7</v>
      </c>
    </row>
    <row r="880">
      <c r="A880" s="14">
        <v>2002.0</v>
      </c>
      <c r="B880" s="14" t="s">
        <v>45</v>
      </c>
      <c r="C880" s="14">
        <v>652.259</v>
      </c>
      <c r="D880" s="14">
        <v>0.0</v>
      </c>
      <c r="E880" s="14">
        <v>0.0</v>
      </c>
      <c r="F880" s="14">
        <v>0.0</v>
      </c>
      <c r="G880" s="14">
        <v>0.0</v>
      </c>
      <c r="H880" s="14">
        <v>0.0</v>
      </c>
      <c r="I880" s="14">
        <v>8.0</v>
      </c>
    </row>
    <row r="881">
      <c r="A881" s="14">
        <v>2002.0</v>
      </c>
      <c r="B881" s="14" t="s">
        <v>78</v>
      </c>
      <c r="C881" s="14">
        <v>489.421</v>
      </c>
      <c r="D881" s="14">
        <v>0.0</v>
      </c>
      <c r="E881" s="14">
        <v>0.0</v>
      </c>
      <c r="F881" s="14">
        <v>0.0</v>
      </c>
      <c r="G881" s="14">
        <v>0.0</v>
      </c>
      <c r="H881" s="14">
        <v>0.0</v>
      </c>
      <c r="I881" s="14">
        <v>14.3</v>
      </c>
    </row>
    <row r="882">
      <c r="A882" s="14">
        <v>2002.0</v>
      </c>
      <c r="B882" s="14" t="s">
        <v>126</v>
      </c>
      <c r="C882" s="14">
        <v>1.001</v>
      </c>
      <c r="D882" s="14">
        <v>0.0</v>
      </c>
      <c r="E882" s="14">
        <v>0.0</v>
      </c>
      <c r="F882" s="14">
        <v>0.0</v>
      </c>
      <c r="G882" s="14">
        <v>0.0</v>
      </c>
      <c r="H882" s="14">
        <v>0.0</v>
      </c>
      <c r="I882" s="14">
        <v>2.4</v>
      </c>
    </row>
    <row r="883">
      <c r="A883" s="14">
        <v>2002.0</v>
      </c>
      <c r="B883" s="14" t="s">
        <v>90</v>
      </c>
      <c r="C883" s="14">
        <v>37.881</v>
      </c>
      <c r="D883" s="14">
        <v>0.0</v>
      </c>
      <c r="E883" s="14">
        <v>0.0</v>
      </c>
      <c r="F883" s="14">
        <v>0.0</v>
      </c>
      <c r="G883" s="14">
        <v>0.0</v>
      </c>
      <c r="H883" s="14">
        <v>0.0</v>
      </c>
      <c r="I883" s="14">
        <v>3.8</v>
      </c>
    </row>
    <row r="884">
      <c r="A884" s="14">
        <v>2002.0</v>
      </c>
      <c r="B884" s="14" t="s">
        <v>91</v>
      </c>
      <c r="C884" s="14">
        <v>23.982</v>
      </c>
      <c r="D884" s="14">
        <v>0.0</v>
      </c>
      <c r="E884" s="14">
        <v>0.0</v>
      </c>
      <c r="F884" s="14">
        <v>0.0</v>
      </c>
      <c r="G884" s="14">
        <v>0.0</v>
      </c>
      <c r="H884" s="14">
        <v>0.0</v>
      </c>
      <c r="I884" s="14">
        <v>0.8</v>
      </c>
    </row>
    <row r="885">
      <c r="A885" s="14">
        <v>2002.0</v>
      </c>
      <c r="B885" s="14" t="s">
        <v>93</v>
      </c>
      <c r="C885" s="14">
        <v>6060.242</v>
      </c>
      <c r="D885" s="14">
        <v>0.0</v>
      </c>
      <c r="E885" s="14">
        <v>0.0</v>
      </c>
      <c r="F885" s="14">
        <v>0.0</v>
      </c>
      <c r="G885" s="14">
        <v>0.0</v>
      </c>
      <c r="H885" s="14">
        <v>0.0</v>
      </c>
      <c r="I885" s="14">
        <v>6.9</v>
      </c>
    </row>
    <row r="886">
      <c r="A886" s="14">
        <v>2002.0</v>
      </c>
      <c r="B886" s="14" t="s">
        <v>94</v>
      </c>
      <c r="C886" s="14">
        <v>70.26</v>
      </c>
      <c r="D886" s="14">
        <v>0.0</v>
      </c>
      <c r="E886" s="14">
        <v>0.0</v>
      </c>
      <c r="F886" s="14">
        <v>0.0</v>
      </c>
      <c r="G886" s="14">
        <v>0.0</v>
      </c>
      <c r="H886" s="14">
        <v>0.0</v>
      </c>
      <c r="I886" s="14">
        <v>0.3</v>
      </c>
    </row>
    <row r="887">
      <c r="A887" s="14">
        <v>2002.0</v>
      </c>
      <c r="B887" s="14" t="s">
        <v>143</v>
      </c>
      <c r="C887" s="14">
        <v>70.516</v>
      </c>
      <c r="D887" s="14">
        <v>0.0</v>
      </c>
      <c r="E887" s="14">
        <v>0.0</v>
      </c>
      <c r="F887" s="14">
        <v>0.0</v>
      </c>
      <c r="G887" s="14">
        <v>0.0</v>
      </c>
      <c r="H887" s="14">
        <v>0.0</v>
      </c>
      <c r="I887" s="14">
        <v>6.9</v>
      </c>
    </row>
    <row r="888">
      <c r="A888" s="14">
        <v>2002.0</v>
      </c>
      <c r="B888" s="14" t="s">
        <v>141</v>
      </c>
      <c r="C888" s="14">
        <v>10.122</v>
      </c>
      <c r="D888" s="14">
        <v>0.0</v>
      </c>
      <c r="E888" s="14">
        <v>0.0</v>
      </c>
      <c r="F888" s="14">
        <v>0.0</v>
      </c>
      <c r="G888" s="14">
        <v>0.0</v>
      </c>
      <c r="H888" s="14">
        <v>0.0</v>
      </c>
      <c r="I888" s="14">
        <v>14.1</v>
      </c>
    </row>
    <row r="889">
      <c r="A889" s="14">
        <v>2002.0</v>
      </c>
      <c r="B889" s="14" t="s">
        <v>142</v>
      </c>
      <c r="C889" s="14">
        <v>7.454</v>
      </c>
      <c r="D889" s="14">
        <v>0.0</v>
      </c>
      <c r="E889" s="14">
        <v>0.0</v>
      </c>
      <c r="F889" s="14">
        <v>0.0</v>
      </c>
      <c r="G889" s="14">
        <v>0.0</v>
      </c>
      <c r="H889" s="14">
        <v>0.0</v>
      </c>
      <c r="I889" s="14">
        <v>2.5</v>
      </c>
    </row>
    <row r="890">
      <c r="A890" s="14">
        <v>2002.0</v>
      </c>
      <c r="B890" s="14" t="s">
        <v>136</v>
      </c>
      <c r="C890" s="14">
        <v>24.758</v>
      </c>
      <c r="D890" s="14">
        <v>0.0</v>
      </c>
      <c r="E890" s="14">
        <v>0.0</v>
      </c>
      <c r="F890" s="14">
        <v>0.0</v>
      </c>
      <c r="G890" s="14">
        <v>0.0</v>
      </c>
      <c r="H890" s="14">
        <v>0.0</v>
      </c>
      <c r="I890" s="14">
        <v>3.2</v>
      </c>
    </row>
    <row r="891">
      <c r="A891" s="14">
        <v>2002.0</v>
      </c>
      <c r="B891" s="14" t="s">
        <v>137</v>
      </c>
      <c r="C891" s="14">
        <v>14.384</v>
      </c>
      <c r="D891" s="14">
        <v>0.0</v>
      </c>
      <c r="E891" s="14">
        <v>0.0</v>
      </c>
      <c r="F891" s="14">
        <v>0.0</v>
      </c>
      <c r="G891" s="14">
        <v>0.0</v>
      </c>
      <c r="H891" s="14">
        <v>0.0</v>
      </c>
      <c r="I891" s="14">
        <v>0.2</v>
      </c>
    </row>
    <row r="892">
      <c r="A892" s="14">
        <v>2002.0</v>
      </c>
      <c r="B892" s="14" t="s">
        <v>206</v>
      </c>
      <c r="C892" s="14">
        <v>296.94</v>
      </c>
      <c r="D892" s="14">
        <v>0.0</v>
      </c>
      <c r="E892" s="14">
        <v>0.0</v>
      </c>
      <c r="F892" s="14">
        <v>0.0</v>
      </c>
      <c r="G892" s="14">
        <v>0.0</v>
      </c>
      <c r="H892" s="14">
        <v>0.0</v>
      </c>
      <c r="I892" s="14">
        <v>23.4</v>
      </c>
    </row>
    <row r="893">
      <c r="A893" s="14">
        <v>2001.0</v>
      </c>
      <c r="B893" s="14" t="s">
        <v>39</v>
      </c>
      <c r="C893" s="14">
        <v>10.44</v>
      </c>
      <c r="D893" s="14">
        <v>0.0</v>
      </c>
      <c r="E893" s="14">
        <v>0.0</v>
      </c>
      <c r="F893" s="14">
        <v>0.0</v>
      </c>
      <c r="G893" s="14">
        <v>0.0</v>
      </c>
      <c r="H893" s="14">
        <v>0.0</v>
      </c>
      <c r="I893" s="14">
        <v>0.1</v>
      </c>
    </row>
    <row r="894">
      <c r="A894" s="14">
        <v>2001.0</v>
      </c>
      <c r="B894" s="14" t="s">
        <v>207</v>
      </c>
      <c r="C894" s="14">
        <v>1000.0</v>
      </c>
      <c r="D894" s="14">
        <v>0.0</v>
      </c>
      <c r="E894" s="14">
        <v>0.0</v>
      </c>
      <c r="F894" s="14">
        <v>0.0</v>
      </c>
      <c r="G894" s="14">
        <v>0.0</v>
      </c>
      <c r="H894" s="14">
        <v>0.0</v>
      </c>
      <c r="I894" s="14">
        <v>0.0</v>
      </c>
    </row>
    <row r="895">
      <c r="A895" s="14">
        <v>2001.0</v>
      </c>
      <c r="B895" s="14" t="s">
        <v>202</v>
      </c>
      <c r="C895" s="14">
        <v>4.712</v>
      </c>
      <c r="D895" s="14">
        <v>0.0</v>
      </c>
      <c r="E895" s="14">
        <v>0.0</v>
      </c>
      <c r="F895" s="14">
        <v>0.0</v>
      </c>
      <c r="G895" s="14">
        <v>0.0</v>
      </c>
      <c r="H895" s="14">
        <v>0.0</v>
      </c>
      <c r="I895" s="14">
        <v>17.5</v>
      </c>
    </row>
    <row r="896">
      <c r="A896" s="14">
        <v>2001.0</v>
      </c>
      <c r="B896" s="14" t="s">
        <v>45</v>
      </c>
      <c r="C896" s="14">
        <v>508.403</v>
      </c>
      <c r="D896" s="14">
        <v>0.0</v>
      </c>
      <c r="E896" s="14">
        <v>0.0</v>
      </c>
      <c r="F896" s="14">
        <v>0.0</v>
      </c>
      <c r="G896" s="14">
        <v>0.0</v>
      </c>
      <c r="H896" s="14">
        <v>0.0</v>
      </c>
      <c r="I896" s="14">
        <v>25.8</v>
      </c>
    </row>
    <row r="897">
      <c r="A897" s="14">
        <v>2001.0</v>
      </c>
      <c r="B897" s="14" t="s">
        <v>208</v>
      </c>
      <c r="C897" s="14">
        <v>66.512</v>
      </c>
      <c r="D897" s="14">
        <v>0.0</v>
      </c>
      <c r="E897" s="14">
        <v>0.0</v>
      </c>
      <c r="F897" s="14">
        <v>0.0</v>
      </c>
      <c r="G897" s="14">
        <v>0.0</v>
      </c>
      <c r="H897" s="14">
        <v>0.0</v>
      </c>
      <c r="I897" s="14">
        <v>3.3</v>
      </c>
    </row>
    <row r="898">
      <c r="A898" s="14">
        <v>2001.0</v>
      </c>
      <c r="B898" s="14" t="s">
        <v>209</v>
      </c>
      <c r="C898" s="14">
        <v>2.427</v>
      </c>
      <c r="D898" s="14">
        <v>0.0</v>
      </c>
      <c r="E898" s="14">
        <v>0.0</v>
      </c>
      <c r="F898" s="14">
        <v>0.0</v>
      </c>
      <c r="G898" s="14">
        <v>0.0</v>
      </c>
      <c r="H898" s="14">
        <v>0.0</v>
      </c>
      <c r="I898" s="14">
        <v>1.4</v>
      </c>
    </row>
    <row r="899">
      <c r="A899" s="14">
        <v>2001.0</v>
      </c>
      <c r="B899" s="14" t="s">
        <v>78</v>
      </c>
      <c r="C899" s="14">
        <v>365.076</v>
      </c>
      <c r="D899" s="14">
        <v>0.0</v>
      </c>
      <c r="E899" s="14">
        <v>0.0</v>
      </c>
      <c r="F899" s="14">
        <v>0.0</v>
      </c>
      <c r="G899" s="14">
        <v>0.0</v>
      </c>
      <c r="H899" s="14">
        <v>0.0</v>
      </c>
      <c r="I899" s="14">
        <v>36.8</v>
      </c>
    </row>
    <row r="900">
      <c r="A900" s="14">
        <v>2001.0</v>
      </c>
      <c r="B900" s="14" t="s">
        <v>126</v>
      </c>
      <c r="C900" s="14">
        <v>1.249</v>
      </c>
      <c r="D900" s="14">
        <v>0.0</v>
      </c>
      <c r="E900" s="14">
        <v>0.0</v>
      </c>
      <c r="F900" s="14">
        <v>0.0</v>
      </c>
      <c r="G900" s="14">
        <v>0.0</v>
      </c>
      <c r="H900" s="14">
        <v>0.0</v>
      </c>
      <c r="I900" s="14">
        <v>3.3</v>
      </c>
    </row>
    <row r="901">
      <c r="A901" s="14">
        <v>2001.0</v>
      </c>
      <c r="B901" s="14" t="s">
        <v>90</v>
      </c>
      <c r="C901" s="14">
        <v>27.785</v>
      </c>
      <c r="D901" s="14">
        <v>0.0</v>
      </c>
      <c r="E901" s="14">
        <v>0.0</v>
      </c>
      <c r="F901" s="14">
        <v>0.0</v>
      </c>
      <c r="G901" s="14">
        <v>0.0</v>
      </c>
      <c r="H901" s="14">
        <v>0.0</v>
      </c>
      <c r="I901" s="14">
        <v>2.1</v>
      </c>
    </row>
    <row r="902">
      <c r="A902" s="14">
        <v>2001.0</v>
      </c>
      <c r="B902" s="14" t="s">
        <v>210</v>
      </c>
      <c r="C902" s="14">
        <v>0.836</v>
      </c>
      <c r="D902" s="14">
        <v>0.0</v>
      </c>
      <c r="E902" s="14">
        <v>0.0</v>
      </c>
      <c r="F902" s="14">
        <v>0.0</v>
      </c>
      <c r="G902" s="14">
        <v>0.0</v>
      </c>
      <c r="H902" s="14">
        <v>0.0</v>
      </c>
      <c r="I902" s="14">
        <v>0.1</v>
      </c>
    </row>
    <row r="903">
      <c r="A903" s="14">
        <v>2001.0</v>
      </c>
      <c r="B903" s="14" t="s">
        <v>93</v>
      </c>
      <c r="C903" s="14">
        <v>2194.678</v>
      </c>
      <c r="D903" s="14">
        <v>0.0</v>
      </c>
      <c r="E903" s="14">
        <v>0.0</v>
      </c>
      <c r="F903" s="14">
        <v>0.0</v>
      </c>
      <c r="G903" s="14">
        <v>0.0</v>
      </c>
      <c r="H903" s="14">
        <v>0.0</v>
      </c>
      <c r="I903" s="14">
        <v>2.4</v>
      </c>
    </row>
    <row r="904">
      <c r="A904" s="14">
        <v>2001.0</v>
      </c>
      <c r="B904" s="14" t="s">
        <v>143</v>
      </c>
      <c r="C904" s="14">
        <v>21.974</v>
      </c>
      <c r="D904" s="14">
        <v>0.0</v>
      </c>
      <c r="E904" s="14">
        <v>0.0</v>
      </c>
      <c r="F904" s="14">
        <v>0.0</v>
      </c>
      <c r="G904" s="14">
        <v>0.0</v>
      </c>
      <c r="H904" s="14">
        <v>0.0</v>
      </c>
      <c r="I904" s="14">
        <v>2.0</v>
      </c>
    </row>
    <row r="905">
      <c r="A905" s="14">
        <v>2001.0</v>
      </c>
      <c r="B905" s="14" t="s">
        <v>206</v>
      </c>
      <c r="C905" s="14">
        <v>155.888</v>
      </c>
      <c r="D905" s="14">
        <v>0.0</v>
      </c>
      <c r="E905" s="14">
        <v>0.0</v>
      </c>
      <c r="F905" s="14">
        <v>0.0</v>
      </c>
      <c r="G905" s="14">
        <v>0.0</v>
      </c>
      <c r="H905" s="14">
        <v>0.0</v>
      </c>
      <c r="I905" s="14">
        <v>5.2</v>
      </c>
    </row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